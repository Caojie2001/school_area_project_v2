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caojie/Desktop/sicc/school_area_project_250922/test/manual/"/>
    </mc:Choice>
  </mc:AlternateContent>
  <xr:revisionPtr revIDLastSave="0" documentId="8_{96DB0EA2-AA79-C543-BC0C-6E1FA0D5A84C}" xr6:coauthVersionLast="47" xr6:coauthVersionMax="47" xr10:uidLastSave="{00000000-0000-0000-0000-000000000000}"/>
  <bookViews>
    <workbookView xWindow="0" yWindow="640" windowWidth="27660" windowHeight="12180" tabRatio="758" xr2:uid="{00000000-000D-0000-FFFF-FFFF00000000}"/>
  </bookViews>
  <sheets>
    <sheet name="上海大学" sheetId="3" r:id="rId1"/>
    <sheet name="上海师范大学" sheetId="4" r:id="rId2"/>
    <sheet name="上海旅游高等专科学校" sheetId="5" r:id="rId3"/>
    <sheet name="上海理工大学" sheetId="6" r:id="rId4"/>
    <sheet name="上海海事大学" sheetId="7" r:id="rId5"/>
    <sheet name="上海海洋大学" sheetId="8" r:id="rId6"/>
    <sheet name="上海工程技术大学" sheetId="9" r:id="rId7"/>
    <sheet name="上海电力大学" sheetId="10" r:id="rId8"/>
    <sheet name="上海应用技术大学" sheetId="11" r:id="rId9"/>
    <sheet name="上海科技大学" sheetId="12" r:id="rId10"/>
    <sheet name="上海第二工业大学" sheetId="13" r:id="rId11"/>
    <sheet name="上海电机学院" sheetId="14" r:id="rId12"/>
    <sheet name="上海出版印刷高等专科学校" sheetId="15" r:id="rId13"/>
    <sheet name="上海城建职业学院" sheetId="16" r:id="rId14"/>
    <sheet name="上海电子信息职业技术学院" sheetId="17" r:id="rId15"/>
    <sheet name="上海工艺美术职业学院" sheetId="18" r:id="rId16"/>
    <sheet name="上海中医药大学" sheetId="19" r:id="rId17"/>
    <sheet name="上海健康医学院" sheetId="20" r:id="rId18"/>
    <sheet name="上海交通大学医学院" sheetId="21" r:id="rId19"/>
    <sheet name="上海健康医学院附属卫生学校(上海健康护理职业学院(筹))" sheetId="22" r:id="rId20"/>
    <sheet name="上海农林职业技术学院" sheetId="23" r:id="rId21"/>
    <sheet name="华东政法大学" sheetId="24" r:id="rId22"/>
    <sheet name="上海政法学院" sheetId="25" r:id="rId23"/>
    <sheet name="上海对外经贸大学" sheetId="26" r:id="rId24"/>
    <sheet name="上海立信会计金融学院" sheetId="27" r:id="rId25"/>
    <sheet name="上海商学院" sheetId="28" r:id="rId26"/>
    <sheet name="上海体育学院" sheetId="29" r:id="rId27"/>
    <sheet name="上海音乐学院" sheetId="30" r:id="rId28"/>
    <sheet name="上海戏剧学院" sheetId="31" r:id="rId29"/>
    <sheet name="上海市教育基建事务管理中心（1）" sheetId="32" r:id="rId30"/>
    <sheet name="上海市教育基建事务管理中心（2）" sheetId="33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33" l="1"/>
  <c r="B44" i="33"/>
  <c r="B43" i="33"/>
  <c r="J38" i="33"/>
  <c r="H38" i="33"/>
  <c r="F38" i="33"/>
  <c r="J37" i="33"/>
  <c r="I37" i="33"/>
  <c r="H37" i="33"/>
  <c r="G37" i="33"/>
  <c r="F37" i="33"/>
  <c r="E37" i="33"/>
  <c r="D37" i="33"/>
  <c r="J36" i="33"/>
  <c r="I36" i="33"/>
  <c r="H36" i="33"/>
  <c r="G36" i="33"/>
  <c r="F36" i="33"/>
  <c r="E36" i="33"/>
  <c r="J35" i="33"/>
  <c r="I35" i="33"/>
  <c r="H35" i="33"/>
  <c r="G35" i="33"/>
  <c r="F35" i="33"/>
  <c r="E35" i="33"/>
  <c r="D35" i="33"/>
  <c r="J34" i="33"/>
  <c r="I34" i="33"/>
  <c r="H34" i="33"/>
  <c r="G34" i="33"/>
  <c r="F34" i="33"/>
  <c r="E34" i="33"/>
  <c r="J33" i="33"/>
  <c r="I33" i="33"/>
  <c r="H33" i="33"/>
  <c r="G33" i="33"/>
  <c r="F33" i="33"/>
  <c r="E33" i="33"/>
  <c r="J32" i="33"/>
  <c r="I32" i="33"/>
  <c r="H32" i="33"/>
  <c r="G32" i="33"/>
  <c r="F32" i="33"/>
  <c r="E32" i="33"/>
  <c r="J31" i="33"/>
  <c r="I31" i="33"/>
  <c r="H31" i="33"/>
  <c r="G31" i="33"/>
  <c r="F31" i="33"/>
  <c r="E31" i="33"/>
  <c r="X26" i="33"/>
  <c r="W26" i="33"/>
  <c r="U26" i="33"/>
  <c r="T26" i="33"/>
  <c r="R26" i="33"/>
  <c r="Q26" i="33"/>
  <c r="O26" i="33"/>
  <c r="N26" i="33"/>
  <c r="L26" i="33"/>
  <c r="K26" i="33"/>
  <c r="I26" i="33"/>
  <c r="H26" i="33"/>
  <c r="F26" i="33"/>
  <c r="X25" i="33"/>
  <c r="H25" i="33"/>
  <c r="X24" i="33"/>
  <c r="W24" i="33"/>
  <c r="H24" i="33"/>
  <c r="X23" i="33"/>
  <c r="T23" i="33"/>
  <c r="Q23" i="33"/>
  <c r="N23" i="33"/>
  <c r="K23" i="33"/>
  <c r="H23" i="33"/>
  <c r="X22" i="33"/>
  <c r="X21" i="33"/>
  <c r="T21" i="33"/>
  <c r="Q21" i="33"/>
  <c r="N21" i="33"/>
  <c r="K21" i="33"/>
  <c r="H21" i="33"/>
  <c r="X20" i="33"/>
  <c r="V20" i="33"/>
  <c r="T20" i="33"/>
  <c r="S20" i="33"/>
  <c r="Q20" i="33"/>
  <c r="P20" i="33"/>
  <c r="N20" i="33"/>
  <c r="M20" i="33"/>
  <c r="K20" i="33"/>
  <c r="J20" i="33"/>
  <c r="H20" i="33"/>
  <c r="G20" i="33"/>
  <c r="X18" i="33"/>
  <c r="W18" i="33"/>
  <c r="U18" i="33"/>
  <c r="T18" i="33"/>
  <c r="R18" i="33"/>
  <c r="Q18" i="33"/>
  <c r="O18" i="33"/>
  <c r="N18" i="33"/>
  <c r="L18" i="33"/>
  <c r="K18" i="33"/>
  <c r="I18" i="33"/>
  <c r="H18" i="33"/>
  <c r="F18" i="33"/>
  <c r="X17" i="33"/>
  <c r="H17" i="33"/>
  <c r="X16" i="33"/>
  <c r="W16" i="33"/>
  <c r="H16" i="33"/>
  <c r="X15" i="33"/>
  <c r="T15" i="33"/>
  <c r="Q15" i="33"/>
  <c r="N15" i="33"/>
  <c r="K15" i="33"/>
  <c r="H15" i="33"/>
  <c r="X14" i="33"/>
  <c r="X13" i="33"/>
  <c r="T13" i="33"/>
  <c r="Q13" i="33"/>
  <c r="N13" i="33"/>
  <c r="K13" i="33"/>
  <c r="H13" i="33"/>
  <c r="X12" i="33"/>
  <c r="V12" i="33"/>
  <c r="T12" i="33"/>
  <c r="S12" i="33"/>
  <c r="Q12" i="33"/>
  <c r="P12" i="33"/>
  <c r="N12" i="33"/>
  <c r="M12" i="33"/>
  <c r="K12" i="33"/>
  <c r="J12" i="33"/>
  <c r="H12" i="33"/>
  <c r="G12" i="33"/>
  <c r="X10" i="33"/>
  <c r="W10" i="33"/>
  <c r="U10" i="33"/>
  <c r="T10" i="33"/>
  <c r="R10" i="33"/>
  <c r="Q10" i="33"/>
  <c r="O10" i="33"/>
  <c r="N10" i="33"/>
  <c r="L10" i="33"/>
  <c r="K10" i="33"/>
  <c r="I10" i="33"/>
  <c r="H10" i="33"/>
  <c r="F10" i="33"/>
  <c r="X9" i="33"/>
  <c r="H9" i="33"/>
  <c r="X8" i="33"/>
  <c r="W8" i="33"/>
  <c r="H8" i="33"/>
  <c r="X7" i="33"/>
  <c r="T7" i="33"/>
  <c r="Q7" i="33"/>
  <c r="N7" i="33"/>
  <c r="K7" i="33"/>
  <c r="H7" i="33"/>
  <c r="X6" i="33"/>
  <c r="X5" i="33"/>
  <c r="T5" i="33"/>
  <c r="Q5" i="33"/>
  <c r="N5" i="33"/>
  <c r="K5" i="33"/>
  <c r="H5" i="33"/>
  <c r="X4" i="33"/>
  <c r="V4" i="33"/>
  <c r="T4" i="33"/>
  <c r="S4" i="33"/>
  <c r="Q4" i="33"/>
  <c r="P4" i="33"/>
  <c r="N4" i="33"/>
  <c r="M4" i="33"/>
  <c r="K4" i="33"/>
  <c r="J4" i="33"/>
  <c r="H4" i="33"/>
  <c r="G4" i="33"/>
  <c r="B45" i="32"/>
  <c r="B44" i="32"/>
  <c r="B43" i="32"/>
  <c r="J38" i="32"/>
  <c r="H38" i="32"/>
  <c r="F38" i="32"/>
  <c r="J37" i="32"/>
  <c r="I37" i="32"/>
  <c r="H37" i="32"/>
  <c r="G37" i="32"/>
  <c r="F37" i="32"/>
  <c r="E37" i="32"/>
  <c r="D37" i="32"/>
  <c r="J36" i="32"/>
  <c r="I36" i="32"/>
  <c r="H36" i="32"/>
  <c r="G36" i="32"/>
  <c r="F36" i="32"/>
  <c r="E36" i="32"/>
  <c r="J35" i="32"/>
  <c r="I35" i="32"/>
  <c r="H35" i="32"/>
  <c r="G35" i="32"/>
  <c r="F35" i="32"/>
  <c r="E35" i="32"/>
  <c r="D35" i="32"/>
  <c r="J34" i="32"/>
  <c r="I34" i="32"/>
  <c r="H34" i="32"/>
  <c r="G34" i="32"/>
  <c r="F34" i="32"/>
  <c r="E34" i="32"/>
  <c r="J33" i="32"/>
  <c r="I33" i="32"/>
  <c r="H33" i="32"/>
  <c r="G33" i="32"/>
  <c r="F33" i="32"/>
  <c r="E33" i="32"/>
  <c r="J32" i="32"/>
  <c r="I32" i="32"/>
  <c r="H32" i="32"/>
  <c r="G32" i="32"/>
  <c r="F32" i="32"/>
  <c r="E32" i="32"/>
  <c r="J31" i="32"/>
  <c r="I31" i="32"/>
  <c r="H31" i="32"/>
  <c r="G31" i="32"/>
  <c r="F31" i="32"/>
  <c r="E31" i="32"/>
  <c r="X26" i="32"/>
  <c r="W26" i="32"/>
  <c r="U26" i="32"/>
  <c r="T26" i="32"/>
  <c r="R26" i="32"/>
  <c r="Q26" i="32"/>
  <c r="O26" i="32"/>
  <c r="N26" i="32"/>
  <c r="L26" i="32"/>
  <c r="K26" i="32"/>
  <c r="I26" i="32"/>
  <c r="H26" i="32"/>
  <c r="F26" i="32"/>
  <c r="X25" i="32"/>
  <c r="H25" i="32"/>
  <c r="X24" i="32"/>
  <c r="W24" i="32"/>
  <c r="H24" i="32"/>
  <c r="X23" i="32"/>
  <c r="T23" i="32"/>
  <c r="Q23" i="32"/>
  <c r="N23" i="32"/>
  <c r="K23" i="32"/>
  <c r="H23" i="32"/>
  <c r="X22" i="32"/>
  <c r="X21" i="32"/>
  <c r="T21" i="32"/>
  <c r="Q21" i="32"/>
  <c r="N21" i="32"/>
  <c r="K21" i="32"/>
  <c r="H21" i="32"/>
  <c r="X20" i="32"/>
  <c r="V20" i="32"/>
  <c r="T20" i="32"/>
  <c r="S20" i="32"/>
  <c r="Q20" i="32"/>
  <c r="P20" i="32"/>
  <c r="N20" i="32"/>
  <c r="M20" i="32"/>
  <c r="K20" i="32"/>
  <c r="J20" i="32"/>
  <c r="H20" i="32"/>
  <c r="G20" i="32"/>
  <c r="X18" i="32"/>
  <c r="W18" i="32"/>
  <c r="U18" i="32"/>
  <c r="T18" i="32"/>
  <c r="R18" i="32"/>
  <c r="Q18" i="32"/>
  <c r="O18" i="32"/>
  <c r="N18" i="32"/>
  <c r="L18" i="32"/>
  <c r="K18" i="32"/>
  <c r="I18" i="32"/>
  <c r="H18" i="32"/>
  <c r="F18" i="32"/>
  <c r="X17" i="32"/>
  <c r="H17" i="32"/>
  <c r="X16" i="32"/>
  <c r="W16" i="32"/>
  <c r="H16" i="32"/>
  <c r="X15" i="32"/>
  <c r="T15" i="32"/>
  <c r="Q15" i="32"/>
  <c r="N15" i="32"/>
  <c r="K15" i="32"/>
  <c r="H15" i="32"/>
  <c r="X14" i="32"/>
  <c r="X13" i="32"/>
  <c r="T13" i="32"/>
  <c r="Q13" i="32"/>
  <c r="N13" i="32"/>
  <c r="K13" i="32"/>
  <c r="H13" i="32"/>
  <c r="X12" i="32"/>
  <c r="V12" i="32"/>
  <c r="T12" i="32"/>
  <c r="S12" i="32"/>
  <c r="Q12" i="32"/>
  <c r="P12" i="32"/>
  <c r="N12" i="32"/>
  <c r="M12" i="32"/>
  <c r="K12" i="32"/>
  <c r="J12" i="32"/>
  <c r="H12" i="32"/>
  <c r="G12" i="32"/>
  <c r="X10" i="32"/>
  <c r="W10" i="32"/>
  <c r="U10" i="32"/>
  <c r="T10" i="32"/>
  <c r="R10" i="32"/>
  <c r="Q10" i="32"/>
  <c r="O10" i="32"/>
  <c r="N10" i="32"/>
  <c r="L10" i="32"/>
  <c r="K10" i="32"/>
  <c r="I10" i="32"/>
  <c r="H10" i="32"/>
  <c r="F10" i="32"/>
  <c r="X9" i="32"/>
  <c r="H9" i="32"/>
  <c r="X8" i="32"/>
  <c r="W8" i="32"/>
  <c r="H8" i="32"/>
  <c r="X7" i="32"/>
  <c r="T7" i="32"/>
  <c r="Q7" i="32"/>
  <c r="N7" i="32"/>
  <c r="K7" i="32"/>
  <c r="H7" i="32"/>
  <c r="X6" i="32"/>
  <c r="X5" i="32"/>
  <c r="T5" i="32"/>
  <c r="Q5" i="32"/>
  <c r="N5" i="32"/>
  <c r="K5" i="32"/>
  <c r="H5" i="32"/>
  <c r="X4" i="32"/>
  <c r="V4" i="32"/>
  <c r="T4" i="32"/>
  <c r="S4" i="32"/>
  <c r="Q4" i="32"/>
  <c r="P4" i="32"/>
  <c r="N4" i="32"/>
  <c r="M4" i="32"/>
  <c r="K4" i="32"/>
  <c r="J4" i="32"/>
  <c r="H4" i="32"/>
  <c r="G4" i="32"/>
  <c r="B45" i="31"/>
  <c r="B44" i="31"/>
  <c r="B43" i="31"/>
  <c r="J38" i="31"/>
  <c r="H38" i="31"/>
  <c r="F38" i="31"/>
  <c r="J37" i="31"/>
  <c r="I37" i="31"/>
  <c r="H37" i="31"/>
  <c r="G37" i="31"/>
  <c r="F37" i="31"/>
  <c r="E37" i="31"/>
  <c r="D37" i="31"/>
  <c r="J36" i="31"/>
  <c r="I36" i="31"/>
  <c r="H36" i="31"/>
  <c r="G36" i="31"/>
  <c r="F36" i="31"/>
  <c r="E36" i="31"/>
  <c r="J35" i="31"/>
  <c r="I35" i="31"/>
  <c r="H35" i="31"/>
  <c r="G35" i="31"/>
  <c r="F35" i="31"/>
  <c r="E35" i="31"/>
  <c r="D35" i="31"/>
  <c r="J34" i="31"/>
  <c r="I34" i="31"/>
  <c r="H34" i="31"/>
  <c r="G34" i="31"/>
  <c r="F34" i="31"/>
  <c r="E34" i="31"/>
  <c r="J33" i="31"/>
  <c r="I33" i="31"/>
  <c r="H33" i="31"/>
  <c r="G33" i="31"/>
  <c r="F33" i="31"/>
  <c r="E33" i="31"/>
  <c r="J32" i="31"/>
  <c r="I32" i="31"/>
  <c r="H32" i="31"/>
  <c r="G32" i="31"/>
  <c r="F32" i="31"/>
  <c r="E32" i="31"/>
  <c r="J31" i="31"/>
  <c r="I31" i="31"/>
  <c r="H31" i="31"/>
  <c r="G31" i="31"/>
  <c r="F31" i="31"/>
  <c r="E31" i="31"/>
  <c r="X26" i="31"/>
  <c r="W26" i="31"/>
  <c r="U26" i="31"/>
  <c r="T26" i="31"/>
  <c r="R26" i="31"/>
  <c r="Q26" i="31"/>
  <c r="O26" i="31"/>
  <c r="N26" i="31"/>
  <c r="L26" i="31"/>
  <c r="K26" i="31"/>
  <c r="I26" i="31"/>
  <c r="H26" i="31"/>
  <c r="F26" i="31"/>
  <c r="X25" i="31"/>
  <c r="H25" i="31"/>
  <c r="X24" i="31"/>
  <c r="W24" i="31"/>
  <c r="H24" i="31"/>
  <c r="X23" i="31"/>
  <c r="T23" i="31"/>
  <c r="Q23" i="31"/>
  <c r="N23" i="31"/>
  <c r="K23" i="31"/>
  <c r="H23" i="31"/>
  <c r="X22" i="31"/>
  <c r="X21" i="31"/>
  <c r="T21" i="31"/>
  <c r="Q21" i="31"/>
  <c r="N21" i="31"/>
  <c r="K21" i="31"/>
  <c r="H21" i="31"/>
  <c r="X20" i="31"/>
  <c r="V20" i="31"/>
  <c r="T20" i="31"/>
  <c r="S20" i="31"/>
  <c r="Q20" i="31"/>
  <c r="P20" i="31"/>
  <c r="N20" i="31"/>
  <c r="M20" i="31"/>
  <c r="K20" i="31"/>
  <c r="J20" i="31"/>
  <c r="H20" i="31"/>
  <c r="G20" i="31"/>
  <c r="X18" i="31"/>
  <c r="W18" i="31"/>
  <c r="U18" i="31"/>
  <c r="T18" i="31"/>
  <c r="R18" i="31"/>
  <c r="Q18" i="31"/>
  <c r="O18" i="31"/>
  <c r="N18" i="31"/>
  <c r="L18" i="31"/>
  <c r="K18" i="31"/>
  <c r="I18" i="31"/>
  <c r="H18" i="31"/>
  <c r="F18" i="31"/>
  <c r="X17" i="31"/>
  <c r="H17" i="31"/>
  <c r="X16" i="31"/>
  <c r="W16" i="31"/>
  <c r="H16" i="31"/>
  <c r="X15" i="31"/>
  <c r="T15" i="31"/>
  <c r="Q15" i="31"/>
  <c r="N15" i="31"/>
  <c r="K15" i="31"/>
  <c r="H15" i="31"/>
  <c r="X14" i="31"/>
  <c r="X13" i="31"/>
  <c r="T13" i="31"/>
  <c r="Q13" i="31"/>
  <c r="N13" i="31"/>
  <c r="K13" i="31"/>
  <c r="H13" i="31"/>
  <c r="X12" i="31"/>
  <c r="V12" i="31"/>
  <c r="T12" i="31"/>
  <c r="S12" i="31"/>
  <c r="Q12" i="31"/>
  <c r="P12" i="31"/>
  <c r="N12" i="31"/>
  <c r="M12" i="31"/>
  <c r="K12" i="31"/>
  <c r="J12" i="31"/>
  <c r="H12" i="31"/>
  <c r="G12" i="31"/>
  <c r="X10" i="31"/>
  <c r="W10" i="31"/>
  <c r="U10" i="31"/>
  <c r="T10" i="31"/>
  <c r="R10" i="31"/>
  <c r="Q10" i="31"/>
  <c r="O10" i="31"/>
  <c r="N10" i="31"/>
  <c r="L10" i="31"/>
  <c r="K10" i="31"/>
  <c r="I10" i="31"/>
  <c r="H10" i="31"/>
  <c r="F10" i="31"/>
  <c r="X9" i="31"/>
  <c r="H9" i="31"/>
  <c r="X8" i="31"/>
  <c r="W8" i="31"/>
  <c r="H8" i="31"/>
  <c r="X7" i="31"/>
  <c r="T7" i="31"/>
  <c r="Q7" i="31"/>
  <c r="N7" i="31"/>
  <c r="K7" i="31"/>
  <c r="H7" i="31"/>
  <c r="X6" i="31"/>
  <c r="X5" i="31"/>
  <c r="T5" i="31"/>
  <c r="Q5" i="31"/>
  <c r="N5" i="31"/>
  <c r="K5" i="31"/>
  <c r="H5" i="31"/>
  <c r="X4" i="31"/>
  <c r="V4" i="31"/>
  <c r="T4" i="31"/>
  <c r="S4" i="31"/>
  <c r="Q4" i="31"/>
  <c r="P4" i="31"/>
  <c r="N4" i="31"/>
  <c r="M4" i="31"/>
  <c r="K4" i="31"/>
  <c r="J4" i="31"/>
  <c r="H4" i="31"/>
  <c r="G4" i="31"/>
  <c r="B45" i="30"/>
  <c r="B44" i="30"/>
  <c r="B43" i="30"/>
  <c r="J38" i="30"/>
  <c r="H38" i="30"/>
  <c r="F38" i="30"/>
  <c r="J37" i="30"/>
  <c r="I37" i="30"/>
  <c r="H37" i="30"/>
  <c r="G37" i="30"/>
  <c r="F37" i="30"/>
  <c r="E37" i="30"/>
  <c r="D37" i="30"/>
  <c r="J36" i="30"/>
  <c r="I36" i="30"/>
  <c r="H36" i="30"/>
  <c r="G36" i="30"/>
  <c r="F36" i="30"/>
  <c r="E36" i="30"/>
  <c r="J35" i="30"/>
  <c r="I35" i="30"/>
  <c r="H35" i="30"/>
  <c r="G35" i="30"/>
  <c r="F35" i="30"/>
  <c r="E35" i="30"/>
  <c r="D35" i="30"/>
  <c r="J34" i="30"/>
  <c r="I34" i="30"/>
  <c r="H34" i="30"/>
  <c r="G34" i="30"/>
  <c r="F34" i="30"/>
  <c r="E34" i="30"/>
  <c r="J33" i="30"/>
  <c r="I33" i="30"/>
  <c r="H33" i="30"/>
  <c r="G33" i="30"/>
  <c r="F33" i="30"/>
  <c r="E33" i="30"/>
  <c r="J32" i="30"/>
  <c r="I32" i="30"/>
  <c r="H32" i="30"/>
  <c r="G32" i="30"/>
  <c r="F32" i="30"/>
  <c r="E32" i="30"/>
  <c r="J31" i="30"/>
  <c r="I31" i="30"/>
  <c r="H31" i="30"/>
  <c r="G31" i="30"/>
  <c r="F31" i="30"/>
  <c r="E31" i="30"/>
  <c r="X26" i="30"/>
  <c r="W26" i="30"/>
  <c r="U26" i="30"/>
  <c r="T26" i="30"/>
  <c r="R26" i="30"/>
  <c r="Q26" i="30"/>
  <c r="O26" i="30"/>
  <c r="N26" i="30"/>
  <c r="L26" i="30"/>
  <c r="K26" i="30"/>
  <c r="I26" i="30"/>
  <c r="H26" i="30"/>
  <c r="F26" i="30"/>
  <c r="X25" i="30"/>
  <c r="H25" i="30"/>
  <c r="X24" i="30"/>
  <c r="W24" i="30"/>
  <c r="H24" i="30"/>
  <c r="X23" i="30"/>
  <c r="T23" i="30"/>
  <c r="Q23" i="30"/>
  <c r="N23" i="30"/>
  <c r="K23" i="30"/>
  <c r="H23" i="30"/>
  <c r="X22" i="30"/>
  <c r="X21" i="30"/>
  <c r="T21" i="30"/>
  <c r="Q21" i="30"/>
  <c r="N21" i="30"/>
  <c r="K21" i="30"/>
  <c r="H21" i="30"/>
  <c r="X20" i="30"/>
  <c r="V20" i="30"/>
  <c r="T20" i="30"/>
  <c r="S20" i="30"/>
  <c r="Q20" i="30"/>
  <c r="P20" i="30"/>
  <c r="N20" i="30"/>
  <c r="M20" i="30"/>
  <c r="K20" i="30"/>
  <c r="J20" i="30"/>
  <c r="H20" i="30"/>
  <c r="G20" i="30"/>
  <c r="X18" i="30"/>
  <c r="W18" i="30"/>
  <c r="U18" i="30"/>
  <c r="T18" i="30"/>
  <c r="R18" i="30"/>
  <c r="Q18" i="30"/>
  <c r="O18" i="30"/>
  <c r="N18" i="30"/>
  <c r="L18" i="30"/>
  <c r="K18" i="30"/>
  <c r="I18" i="30"/>
  <c r="H18" i="30"/>
  <c r="F18" i="30"/>
  <c r="X17" i="30"/>
  <c r="H17" i="30"/>
  <c r="X16" i="30"/>
  <c r="W16" i="30"/>
  <c r="H16" i="30"/>
  <c r="X15" i="30"/>
  <c r="T15" i="30"/>
  <c r="Q15" i="30"/>
  <c r="N15" i="30"/>
  <c r="K15" i="30"/>
  <c r="H15" i="30"/>
  <c r="X14" i="30"/>
  <c r="X13" i="30"/>
  <c r="T13" i="30"/>
  <c r="Q13" i="30"/>
  <c r="N13" i="30"/>
  <c r="K13" i="30"/>
  <c r="H13" i="30"/>
  <c r="X12" i="30"/>
  <c r="V12" i="30"/>
  <c r="T12" i="30"/>
  <c r="S12" i="30"/>
  <c r="Q12" i="30"/>
  <c r="P12" i="30"/>
  <c r="N12" i="30"/>
  <c r="M12" i="30"/>
  <c r="K12" i="30"/>
  <c r="J12" i="30"/>
  <c r="H12" i="30"/>
  <c r="G12" i="30"/>
  <c r="X10" i="30"/>
  <c r="W10" i="30"/>
  <c r="U10" i="30"/>
  <c r="T10" i="30"/>
  <c r="R10" i="30"/>
  <c r="Q10" i="30"/>
  <c r="O10" i="30"/>
  <c r="N10" i="30"/>
  <c r="L10" i="30"/>
  <c r="K10" i="30"/>
  <c r="I10" i="30"/>
  <c r="H10" i="30"/>
  <c r="F10" i="30"/>
  <c r="X9" i="30"/>
  <c r="H9" i="30"/>
  <c r="X8" i="30"/>
  <c r="W8" i="30"/>
  <c r="H8" i="30"/>
  <c r="X7" i="30"/>
  <c r="T7" i="30"/>
  <c r="Q7" i="30"/>
  <c r="N7" i="30"/>
  <c r="K7" i="30"/>
  <c r="H7" i="30"/>
  <c r="X6" i="30"/>
  <c r="X5" i="30"/>
  <c r="T5" i="30"/>
  <c r="Q5" i="30"/>
  <c r="N5" i="30"/>
  <c r="K5" i="30"/>
  <c r="H5" i="30"/>
  <c r="X4" i="30"/>
  <c r="V4" i="30"/>
  <c r="T4" i="30"/>
  <c r="S4" i="30"/>
  <c r="Q4" i="30"/>
  <c r="P4" i="30"/>
  <c r="N4" i="30"/>
  <c r="M4" i="30"/>
  <c r="K4" i="30"/>
  <c r="J4" i="30"/>
  <c r="H4" i="30"/>
  <c r="G4" i="30"/>
  <c r="B45" i="29"/>
  <c r="B44" i="29"/>
  <c r="B43" i="29"/>
  <c r="J38" i="29"/>
  <c r="H38" i="29"/>
  <c r="F38" i="29"/>
  <c r="J37" i="29"/>
  <c r="I37" i="29"/>
  <c r="H37" i="29"/>
  <c r="G37" i="29"/>
  <c r="F37" i="29"/>
  <c r="E37" i="29"/>
  <c r="D37" i="29"/>
  <c r="J36" i="29"/>
  <c r="I36" i="29"/>
  <c r="H36" i="29"/>
  <c r="G36" i="29"/>
  <c r="F36" i="29"/>
  <c r="E36" i="29"/>
  <c r="J35" i="29"/>
  <c r="I35" i="29"/>
  <c r="H35" i="29"/>
  <c r="G35" i="29"/>
  <c r="F35" i="29"/>
  <c r="E35" i="29"/>
  <c r="D35" i="29"/>
  <c r="J34" i="29"/>
  <c r="I34" i="29"/>
  <c r="H34" i="29"/>
  <c r="G34" i="29"/>
  <c r="F34" i="29"/>
  <c r="E34" i="29"/>
  <c r="J33" i="29"/>
  <c r="I33" i="29"/>
  <c r="H33" i="29"/>
  <c r="G33" i="29"/>
  <c r="F33" i="29"/>
  <c r="E33" i="29"/>
  <c r="J32" i="29"/>
  <c r="I32" i="29"/>
  <c r="H32" i="29"/>
  <c r="G32" i="29"/>
  <c r="F32" i="29"/>
  <c r="E32" i="29"/>
  <c r="J31" i="29"/>
  <c r="I31" i="29"/>
  <c r="H31" i="29"/>
  <c r="G31" i="29"/>
  <c r="F31" i="29"/>
  <c r="E31" i="29"/>
  <c r="X26" i="29"/>
  <c r="W26" i="29"/>
  <c r="U26" i="29"/>
  <c r="T26" i="29"/>
  <c r="R26" i="29"/>
  <c r="Q26" i="29"/>
  <c r="O26" i="29"/>
  <c r="N26" i="29"/>
  <c r="L26" i="29"/>
  <c r="K26" i="29"/>
  <c r="I26" i="29"/>
  <c r="H26" i="29"/>
  <c r="F26" i="29"/>
  <c r="X25" i="29"/>
  <c r="H25" i="29"/>
  <c r="X24" i="29"/>
  <c r="W24" i="29"/>
  <c r="H24" i="29"/>
  <c r="X23" i="29"/>
  <c r="T23" i="29"/>
  <c r="Q23" i="29"/>
  <c r="N23" i="29"/>
  <c r="K23" i="29"/>
  <c r="H23" i="29"/>
  <c r="X22" i="29"/>
  <c r="X21" i="29"/>
  <c r="T21" i="29"/>
  <c r="Q21" i="29"/>
  <c r="N21" i="29"/>
  <c r="K21" i="29"/>
  <c r="H21" i="29"/>
  <c r="X20" i="29"/>
  <c r="V20" i="29"/>
  <c r="T20" i="29"/>
  <c r="S20" i="29"/>
  <c r="Q20" i="29"/>
  <c r="P20" i="29"/>
  <c r="N20" i="29"/>
  <c r="M20" i="29"/>
  <c r="K20" i="29"/>
  <c r="J20" i="29"/>
  <c r="H20" i="29"/>
  <c r="G20" i="29"/>
  <c r="X18" i="29"/>
  <c r="W18" i="29"/>
  <c r="U18" i="29"/>
  <c r="T18" i="29"/>
  <c r="R18" i="29"/>
  <c r="Q18" i="29"/>
  <c r="O18" i="29"/>
  <c r="N18" i="29"/>
  <c r="L18" i="29"/>
  <c r="K18" i="29"/>
  <c r="I18" i="29"/>
  <c r="H18" i="29"/>
  <c r="F18" i="29"/>
  <c r="X17" i="29"/>
  <c r="H17" i="29"/>
  <c r="X16" i="29"/>
  <c r="W16" i="29"/>
  <c r="H16" i="29"/>
  <c r="X15" i="29"/>
  <c r="T15" i="29"/>
  <c r="Q15" i="29"/>
  <c r="N15" i="29"/>
  <c r="K15" i="29"/>
  <c r="H15" i="29"/>
  <c r="X14" i="29"/>
  <c r="X13" i="29"/>
  <c r="T13" i="29"/>
  <c r="Q13" i="29"/>
  <c r="N13" i="29"/>
  <c r="K13" i="29"/>
  <c r="H13" i="29"/>
  <c r="X12" i="29"/>
  <c r="V12" i="29"/>
  <c r="T12" i="29"/>
  <c r="S12" i="29"/>
  <c r="Q12" i="29"/>
  <c r="P12" i="29"/>
  <c r="N12" i="29"/>
  <c r="M12" i="29"/>
  <c r="K12" i="29"/>
  <c r="J12" i="29"/>
  <c r="H12" i="29"/>
  <c r="G12" i="29"/>
  <c r="X10" i="29"/>
  <c r="W10" i="29"/>
  <c r="U10" i="29"/>
  <c r="T10" i="29"/>
  <c r="R10" i="29"/>
  <c r="Q10" i="29"/>
  <c r="O10" i="29"/>
  <c r="N10" i="29"/>
  <c r="L10" i="29"/>
  <c r="K10" i="29"/>
  <c r="I10" i="29"/>
  <c r="H10" i="29"/>
  <c r="F10" i="29"/>
  <c r="X9" i="29"/>
  <c r="H9" i="29"/>
  <c r="X8" i="29"/>
  <c r="W8" i="29"/>
  <c r="H8" i="29"/>
  <c r="X7" i="29"/>
  <c r="T7" i="29"/>
  <c r="Q7" i="29"/>
  <c r="N7" i="29"/>
  <c r="K7" i="29"/>
  <c r="H7" i="29"/>
  <c r="X6" i="29"/>
  <c r="X5" i="29"/>
  <c r="T5" i="29"/>
  <c r="Q5" i="29"/>
  <c r="N5" i="29"/>
  <c r="K5" i="29"/>
  <c r="H5" i="29"/>
  <c r="X4" i="29"/>
  <c r="V4" i="29"/>
  <c r="T4" i="29"/>
  <c r="S4" i="29"/>
  <c r="Q4" i="29"/>
  <c r="P4" i="29"/>
  <c r="N4" i="29"/>
  <c r="M4" i="29"/>
  <c r="K4" i="29"/>
  <c r="J4" i="29"/>
  <c r="H4" i="29"/>
  <c r="G4" i="29"/>
  <c r="B45" i="28"/>
  <c r="B44" i="28"/>
  <c r="B43" i="28"/>
  <c r="J38" i="28"/>
  <c r="H38" i="28"/>
  <c r="F38" i="28"/>
  <c r="J37" i="28"/>
  <c r="I37" i="28"/>
  <c r="H37" i="28"/>
  <c r="G37" i="28"/>
  <c r="F37" i="28"/>
  <c r="E37" i="28"/>
  <c r="D37" i="28"/>
  <c r="J36" i="28"/>
  <c r="I36" i="28"/>
  <c r="H36" i="28"/>
  <c r="G36" i="28"/>
  <c r="F36" i="28"/>
  <c r="E36" i="28"/>
  <c r="J35" i="28"/>
  <c r="I35" i="28"/>
  <c r="H35" i="28"/>
  <c r="G35" i="28"/>
  <c r="F35" i="28"/>
  <c r="E35" i="28"/>
  <c r="D35" i="28"/>
  <c r="J34" i="28"/>
  <c r="I34" i="28"/>
  <c r="H34" i="28"/>
  <c r="G34" i="28"/>
  <c r="F34" i="28"/>
  <c r="E34" i="28"/>
  <c r="J33" i="28"/>
  <c r="I33" i="28"/>
  <c r="H33" i="28"/>
  <c r="G33" i="28"/>
  <c r="F33" i="28"/>
  <c r="E33" i="28"/>
  <c r="J32" i="28"/>
  <c r="I32" i="28"/>
  <c r="H32" i="28"/>
  <c r="G32" i="28"/>
  <c r="F32" i="28"/>
  <c r="E32" i="28"/>
  <c r="J31" i="28"/>
  <c r="I31" i="28"/>
  <c r="H31" i="28"/>
  <c r="G31" i="28"/>
  <c r="F31" i="28"/>
  <c r="E31" i="28"/>
  <c r="X26" i="28"/>
  <c r="W26" i="28"/>
  <c r="U26" i="28"/>
  <c r="T26" i="28"/>
  <c r="R26" i="28"/>
  <c r="Q26" i="28"/>
  <c r="O26" i="28"/>
  <c r="N26" i="28"/>
  <c r="L26" i="28"/>
  <c r="K26" i="28"/>
  <c r="I26" i="28"/>
  <c r="H26" i="28"/>
  <c r="F26" i="28"/>
  <c r="X25" i="28"/>
  <c r="H25" i="28"/>
  <c r="X24" i="28"/>
  <c r="W24" i="28"/>
  <c r="H24" i="28"/>
  <c r="X23" i="28"/>
  <c r="T23" i="28"/>
  <c r="Q23" i="28"/>
  <c r="N23" i="28"/>
  <c r="K23" i="28"/>
  <c r="H23" i="28"/>
  <c r="X22" i="28"/>
  <c r="X21" i="28"/>
  <c r="T21" i="28"/>
  <c r="Q21" i="28"/>
  <c r="N21" i="28"/>
  <c r="K21" i="28"/>
  <c r="H21" i="28"/>
  <c r="X20" i="28"/>
  <c r="V20" i="28"/>
  <c r="T20" i="28"/>
  <c r="S20" i="28"/>
  <c r="Q20" i="28"/>
  <c r="P20" i="28"/>
  <c r="N20" i="28"/>
  <c r="M20" i="28"/>
  <c r="K20" i="28"/>
  <c r="J20" i="28"/>
  <c r="H20" i="28"/>
  <c r="G20" i="28"/>
  <c r="X18" i="28"/>
  <c r="W18" i="28"/>
  <c r="U18" i="28"/>
  <c r="T18" i="28"/>
  <c r="R18" i="28"/>
  <c r="Q18" i="28"/>
  <c r="O18" i="28"/>
  <c r="N18" i="28"/>
  <c r="L18" i="28"/>
  <c r="K18" i="28"/>
  <c r="I18" i="28"/>
  <c r="H18" i="28"/>
  <c r="F18" i="28"/>
  <c r="X17" i="28"/>
  <c r="H17" i="28"/>
  <c r="X16" i="28"/>
  <c r="W16" i="28"/>
  <c r="H16" i="28"/>
  <c r="X15" i="28"/>
  <c r="T15" i="28"/>
  <c r="Q15" i="28"/>
  <c r="N15" i="28"/>
  <c r="K15" i="28"/>
  <c r="H15" i="28"/>
  <c r="X14" i="28"/>
  <c r="X13" i="28"/>
  <c r="T13" i="28"/>
  <c r="Q13" i="28"/>
  <c r="N13" i="28"/>
  <c r="K13" i="28"/>
  <c r="H13" i="28"/>
  <c r="X12" i="28"/>
  <c r="V12" i="28"/>
  <c r="T12" i="28"/>
  <c r="S12" i="28"/>
  <c r="Q12" i="28"/>
  <c r="P12" i="28"/>
  <c r="N12" i="28"/>
  <c r="M12" i="28"/>
  <c r="K12" i="28"/>
  <c r="J12" i="28"/>
  <c r="H12" i="28"/>
  <c r="G12" i="28"/>
  <c r="X10" i="28"/>
  <c r="W10" i="28"/>
  <c r="U10" i="28"/>
  <c r="T10" i="28"/>
  <c r="R10" i="28"/>
  <c r="Q10" i="28"/>
  <c r="O10" i="28"/>
  <c r="N10" i="28"/>
  <c r="L10" i="28"/>
  <c r="K10" i="28"/>
  <c r="I10" i="28"/>
  <c r="H10" i="28"/>
  <c r="F10" i="28"/>
  <c r="X9" i="28"/>
  <c r="H9" i="28"/>
  <c r="X8" i="28"/>
  <c r="W8" i="28"/>
  <c r="H8" i="28"/>
  <c r="X7" i="28"/>
  <c r="T7" i="28"/>
  <c r="Q7" i="28"/>
  <c r="N7" i="28"/>
  <c r="K7" i="28"/>
  <c r="H7" i="28"/>
  <c r="X6" i="28"/>
  <c r="X5" i="28"/>
  <c r="T5" i="28"/>
  <c r="Q5" i="28"/>
  <c r="N5" i="28"/>
  <c r="K5" i="28"/>
  <c r="H5" i="28"/>
  <c r="X4" i="28"/>
  <c r="V4" i="28"/>
  <c r="T4" i="28"/>
  <c r="S4" i="28"/>
  <c r="Q4" i="28"/>
  <c r="P4" i="28"/>
  <c r="N4" i="28"/>
  <c r="M4" i="28"/>
  <c r="K4" i="28"/>
  <c r="J4" i="28"/>
  <c r="H4" i="28"/>
  <c r="G4" i="28"/>
  <c r="B45" i="27"/>
  <c r="B44" i="27"/>
  <c r="B43" i="27"/>
  <c r="J38" i="27"/>
  <c r="H38" i="27"/>
  <c r="F38" i="27"/>
  <c r="J37" i="27"/>
  <c r="I37" i="27"/>
  <c r="H37" i="27"/>
  <c r="G37" i="27"/>
  <c r="F37" i="27"/>
  <c r="E37" i="27"/>
  <c r="D37" i="27"/>
  <c r="J36" i="27"/>
  <c r="I36" i="27"/>
  <c r="H36" i="27"/>
  <c r="G36" i="27"/>
  <c r="F36" i="27"/>
  <c r="E36" i="27"/>
  <c r="J35" i="27"/>
  <c r="I35" i="27"/>
  <c r="H35" i="27"/>
  <c r="G35" i="27"/>
  <c r="F35" i="27"/>
  <c r="E35" i="27"/>
  <c r="D35" i="27"/>
  <c r="J34" i="27"/>
  <c r="I34" i="27"/>
  <c r="H34" i="27"/>
  <c r="G34" i="27"/>
  <c r="F34" i="27"/>
  <c r="E34" i="27"/>
  <c r="J33" i="27"/>
  <c r="I33" i="27"/>
  <c r="H33" i="27"/>
  <c r="G33" i="27"/>
  <c r="F33" i="27"/>
  <c r="E33" i="27"/>
  <c r="J32" i="27"/>
  <c r="I32" i="27"/>
  <c r="H32" i="27"/>
  <c r="G32" i="27"/>
  <c r="F32" i="27"/>
  <c r="E32" i="27"/>
  <c r="J31" i="27"/>
  <c r="I31" i="27"/>
  <c r="H31" i="27"/>
  <c r="G31" i="27"/>
  <c r="F31" i="27"/>
  <c r="E31" i="27"/>
  <c r="X26" i="27"/>
  <c r="W26" i="27"/>
  <c r="U26" i="27"/>
  <c r="T26" i="27"/>
  <c r="R26" i="27"/>
  <c r="Q26" i="27"/>
  <c r="O26" i="27"/>
  <c r="N26" i="27"/>
  <c r="L26" i="27"/>
  <c r="K26" i="27"/>
  <c r="I26" i="27"/>
  <c r="H26" i="27"/>
  <c r="F26" i="27"/>
  <c r="X25" i="27"/>
  <c r="H25" i="27"/>
  <c r="X24" i="27"/>
  <c r="W24" i="27"/>
  <c r="H24" i="27"/>
  <c r="X23" i="27"/>
  <c r="T23" i="27"/>
  <c r="Q23" i="27"/>
  <c r="N23" i="27"/>
  <c r="K23" i="27"/>
  <c r="H23" i="27"/>
  <c r="X22" i="27"/>
  <c r="X21" i="27"/>
  <c r="T21" i="27"/>
  <c r="Q21" i="27"/>
  <c r="N21" i="27"/>
  <c r="K21" i="27"/>
  <c r="H21" i="27"/>
  <c r="X20" i="27"/>
  <c r="V20" i="27"/>
  <c r="T20" i="27"/>
  <c r="S20" i="27"/>
  <c r="Q20" i="27"/>
  <c r="P20" i="27"/>
  <c r="N20" i="27"/>
  <c r="M20" i="27"/>
  <c r="K20" i="27"/>
  <c r="J20" i="27"/>
  <c r="H20" i="27"/>
  <c r="G20" i="27"/>
  <c r="X18" i="27"/>
  <c r="W18" i="27"/>
  <c r="U18" i="27"/>
  <c r="T18" i="27"/>
  <c r="R18" i="27"/>
  <c r="Q18" i="27"/>
  <c r="O18" i="27"/>
  <c r="N18" i="27"/>
  <c r="L18" i="27"/>
  <c r="K18" i="27"/>
  <c r="I18" i="27"/>
  <c r="H18" i="27"/>
  <c r="F18" i="27"/>
  <c r="X17" i="27"/>
  <c r="H17" i="27"/>
  <c r="X16" i="27"/>
  <c r="W16" i="27"/>
  <c r="H16" i="27"/>
  <c r="X15" i="27"/>
  <c r="T15" i="27"/>
  <c r="Q15" i="27"/>
  <c r="N15" i="27"/>
  <c r="K15" i="27"/>
  <c r="H15" i="27"/>
  <c r="X14" i="27"/>
  <c r="X13" i="27"/>
  <c r="T13" i="27"/>
  <c r="Q13" i="27"/>
  <c r="N13" i="27"/>
  <c r="K13" i="27"/>
  <c r="H13" i="27"/>
  <c r="X12" i="27"/>
  <c r="V12" i="27"/>
  <c r="T12" i="27"/>
  <c r="S12" i="27"/>
  <c r="Q12" i="27"/>
  <c r="P12" i="27"/>
  <c r="N12" i="27"/>
  <c r="M12" i="27"/>
  <c r="K12" i="27"/>
  <c r="J12" i="27"/>
  <c r="H12" i="27"/>
  <c r="G12" i="27"/>
  <c r="X10" i="27"/>
  <c r="W10" i="27"/>
  <c r="U10" i="27"/>
  <c r="T10" i="27"/>
  <c r="R10" i="27"/>
  <c r="Q10" i="27"/>
  <c r="O10" i="27"/>
  <c r="N10" i="27"/>
  <c r="L10" i="27"/>
  <c r="K10" i="27"/>
  <c r="I10" i="27"/>
  <c r="H10" i="27"/>
  <c r="F10" i="27"/>
  <c r="X9" i="27"/>
  <c r="H9" i="27"/>
  <c r="X8" i="27"/>
  <c r="W8" i="27"/>
  <c r="H8" i="27"/>
  <c r="X7" i="27"/>
  <c r="T7" i="27"/>
  <c r="Q7" i="27"/>
  <c r="N7" i="27"/>
  <c r="K7" i="27"/>
  <c r="H7" i="27"/>
  <c r="X6" i="27"/>
  <c r="X5" i="27"/>
  <c r="T5" i="27"/>
  <c r="Q5" i="27"/>
  <c r="N5" i="27"/>
  <c r="K5" i="27"/>
  <c r="H5" i="27"/>
  <c r="X4" i="27"/>
  <c r="V4" i="27"/>
  <c r="T4" i="27"/>
  <c r="S4" i="27"/>
  <c r="Q4" i="27"/>
  <c r="P4" i="27"/>
  <c r="N4" i="27"/>
  <c r="M4" i="27"/>
  <c r="K4" i="27"/>
  <c r="J4" i="27"/>
  <c r="H4" i="27"/>
  <c r="G4" i="27"/>
  <c r="B45" i="26"/>
  <c r="B44" i="26"/>
  <c r="B43" i="26"/>
  <c r="J38" i="26"/>
  <c r="H38" i="26"/>
  <c r="F38" i="26"/>
  <c r="J37" i="26"/>
  <c r="I37" i="26"/>
  <c r="H37" i="26"/>
  <c r="G37" i="26"/>
  <c r="F37" i="26"/>
  <c r="E37" i="26"/>
  <c r="D37" i="26"/>
  <c r="J36" i="26"/>
  <c r="I36" i="26"/>
  <c r="H36" i="26"/>
  <c r="G36" i="26"/>
  <c r="F36" i="26"/>
  <c r="E36" i="26"/>
  <c r="J35" i="26"/>
  <c r="I35" i="26"/>
  <c r="H35" i="26"/>
  <c r="G35" i="26"/>
  <c r="F35" i="26"/>
  <c r="E35" i="26"/>
  <c r="D35" i="26"/>
  <c r="J34" i="26"/>
  <c r="I34" i="26"/>
  <c r="H34" i="26"/>
  <c r="G34" i="26"/>
  <c r="F34" i="26"/>
  <c r="E34" i="26"/>
  <c r="J33" i="26"/>
  <c r="I33" i="26"/>
  <c r="H33" i="26"/>
  <c r="G33" i="26"/>
  <c r="F33" i="26"/>
  <c r="E33" i="26"/>
  <c r="J32" i="26"/>
  <c r="I32" i="26"/>
  <c r="H32" i="26"/>
  <c r="G32" i="26"/>
  <c r="F32" i="26"/>
  <c r="E32" i="26"/>
  <c r="J31" i="26"/>
  <c r="I31" i="26"/>
  <c r="H31" i="26"/>
  <c r="G31" i="26"/>
  <c r="F31" i="26"/>
  <c r="E31" i="26"/>
  <c r="X26" i="26"/>
  <c r="W26" i="26"/>
  <c r="U26" i="26"/>
  <c r="T26" i="26"/>
  <c r="R26" i="26"/>
  <c r="Q26" i="26"/>
  <c r="O26" i="26"/>
  <c r="N26" i="26"/>
  <c r="L26" i="26"/>
  <c r="K26" i="26"/>
  <c r="I26" i="26"/>
  <c r="H26" i="26"/>
  <c r="F26" i="26"/>
  <c r="X25" i="26"/>
  <c r="H25" i="26"/>
  <c r="X24" i="26"/>
  <c r="W24" i="26"/>
  <c r="H24" i="26"/>
  <c r="X23" i="26"/>
  <c r="T23" i="26"/>
  <c r="Q23" i="26"/>
  <c r="N23" i="26"/>
  <c r="K23" i="26"/>
  <c r="H23" i="26"/>
  <c r="X22" i="26"/>
  <c r="X21" i="26"/>
  <c r="T21" i="26"/>
  <c r="Q21" i="26"/>
  <c r="N21" i="26"/>
  <c r="K21" i="26"/>
  <c r="H21" i="26"/>
  <c r="X20" i="26"/>
  <c r="V20" i="26"/>
  <c r="T20" i="26"/>
  <c r="S20" i="26"/>
  <c r="Q20" i="26"/>
  <c r="P20" i="26"/>
  <c r="N20" i="26"/>
  <c r="M20" i="26"/>
  <c r="K20" i="26"/>
  <c r="J20" i="26"/>
  <c r="H20" i="26"/>
  <c r="G20" i="26"/>
  <c r="X18" i="26"/>
  <c r="W18" i="26"/>
  <c r="U18" i="26"/>
  <c r="T18" i="26"/>
  <c r="R18" i="26"/>
  <c r="Q18" i="26"/>
  <c r="O18" i="26"/>
  <c r="N18" i="26"/>
  <c r="L18" i="26"/>
  <c r="K18" i="26"/>
  <c r="I18" i="26"/>
  <c r="H18" i="26"/>
  <c r="F18" i="26"/>
  <c r="X17" i="26"/>
  <c r="H17" i="26"/>
  <c r="X16" i="26"/>
  <c r="W16" i="26"/>
  <c r="H16" i="26"/>
  <c r="X15" i="26"/>
  <c r="T15" i="26"/>
  <c r="Q15" i="26"/>
  <c r="N15" i="26"/>
  <c r="K15" i="26"/>
  <c r="H15" i="26"/>
  <c r="X14" i="26"/>
  <c r="X13" i="26"/>
  <c r="T13" i="26"/>
  <c r="Q13" i="26"/>
  <c r="N13" i="26"/>
  <c r="K13" i="26"/>
  <c r="H13" i="26"/>
  <c r="X12" i="26"/>
  <c r="V12" i="26"/>
  <c r="T12" i="26"/>
  <c r="S12" i="26"/>
  <c r="Q12" i="26"/>
  <c r="P12" i="26"/>
  <c r="N12" i="26"/>
  <c r="M12" i="26"/>
  <c r="K12" i="26"/>
  <c r="J12" i="26"/>
  <c r="H12" i="26"/>
  <c r="G12" i="26"/>
  <c r="X10" i="26"/>
  <c r="W10" i="26"/>
  <c r="U10" i="26"/>
  <c r="T10" i="26"/>
  <c r="R10" i="26"/>
  <c r="Q10" i="26"/>
  <c r="O10" i="26"/>
  <c r="N10" i="26"/>
  <c r="L10" i="26"/>
  <c r="K10" i="26"/>
  <c r="I10" i="26"/>
  <c r="H10" i="26"/>
  <c r="F10" i="26"/>
  <c r="X9" i="26"/>
  <c r="H9" i="26"/>
  <c r="X8" i="26"/>
  <c r="W8" i="26"/>
  <c r="H8" i="26"/>
  <c r="X7" i="26"/>
  <c r="T7" i="26"/>
  <c r="Q7" i="26"/>
  <c r="N7" i="26"/>
  <c r="K7" i="26"/>
  <c r="H7" i="26"/>
  <c r="X6" i="26"/>
  <c r="X5" i="26"/>
  <c r="T5" i="26"/>
  <c r="Q5" i="26"/>
  <c r="N5" i="26"/>
  <c r="K5" i="26"/>
  <c r="H5" i="26"/>
  <c r="X4" i="26"/>
  <c r="V4" i="26"/>
  <c r="T4" i="26"/>
  <c r="S4" i="26"/>
  <c r="Q4" i="26"/>
  <c r="P4" i="26"/>
  <c r="N4" i="26"/>
  <c r="M4" i="26"/>
  <c r="K4" i="26"/>
  <c r="J4" i="26"/>
  <c r="H4" i="26"/>
  <c r="G4" i="26"/>
  <c r="B45" i="25"/>
  <c r="B44" i="25"/>
  <c r="B43" i="25"/>
  <c r="J38" i="25"/>
  <c r="H38" i="25"/>
  <c r="F38" i="25"/>
  <c r="J37" i="25"/>
  <c r="I37" i="25"/>
  <c r="H37" i="25"/>
  <c r="G37" i="25"/>
  <c r="F37" i="25"/>
  <c r="E37" i="25"/>
  <c r="D37" i="25"/>
  <c r="J36" i="25"/>
  <c r="I36" i="25"/>
  <c r="H36" i="25"/>
  <c r="G36" i="25"/>
  <c r="F36" i="25"/>
  <c r="E36" i="25"/>
  <c r="J35" i="25"/>
  <c r="I35" i="25"/>
  <c r="H35" i="25"/>
  <c r="G35" i="25"/>
  <c r="F35" i="25"/>
  <c r="E35" i="25"/>
  <c r="D35" i="25"/>
  <c r="J34" i="25"/>
  <c r="I34" i="25"/>
  <c r="H34" i="25"/>
  <c r="G34" i="25"/>
  <c r="F34" i="25"/>
  <c r="E34" i="25"/>
  <c r="J33" i="25"/>
  <c r="I33" i="25"/>
  <c r="H33" i="25"/>
  <c r="G33" i="25"/>
  <c r="F33" i="25"/>
  <c r="E33" i="25"/>
  <c r="J32" i="25"/>
  <c r="I32" i="25"/>
  <c r="H32" i="25"/>
  <c r="G32" i="25"/>
  <c r="F32" i="25"/>
  <c r="E32" i="25"/>
  <c r="J31" i="25"/>
  <c r="I31" i="25"/>
  <c r="H31" i="25"/>
  <c r="G31" i="25"/>
  <c r="F31" i="25"/>
  <c r="E31" i="25"/>
  <c r="X26" i="25"/>
  <c r="W26" i="25"/>
  <c r="U26" i="25"/>
  <c r="T26" i="25"/>
  <c r="R26" i="25"/>
  <c r="Q26" i="25"/>
  <c r="O26" i="25"/>
  <c r="N26" i="25"/>
  <c r="L26" i="25"/>
  <c r="K26" i="25"/>
  <c r="I26" i="25"/>
  <c r="H26" i="25"/>
  <c r="F26" i="25"/>
  <c r="X25" i="25"/>
  <c r="H25" i="25"/>
  <c r="X24" i="25"/>
  <c r="W24" i="25"/>
  <c r="H24" i="25"/>
  <c r="X23" i="25"/>
  <c r="T23" i="25"/>
  <c r="Q23" i="25"/>
  <c r="N23" i="25"/>
  <c r="K23" i="25"/>
  <c r="H23" i="25"/>
  <c r="X22" i="25"/>
  <c r="X21" i="25"/>
  <c r="T21" i="25"/>
  <c r="Q21" i="25"/>
  <c r="N21" i="25"/>
  <c r="K21" i="25"/>
  <c r="H21" i="25"/>
  <c r="X20" i="25"/>
  <c r="V20" i="25"/>
  <c r="T20" i="25"/>
  <c r="S20" i="25"/>
  <c r="Q20" i="25"/>
  <c r="P20" i="25"/>
  <c r="N20" i="25"/>
  <c r="M20" i="25"/>
  <c r="K20" i="25"/>
  <c r="J20" i="25"/>
  <c r="H20" i="25"/>
  <c r="G20" i="25"/>
  <c r="X18" i="25"/>
  <c r="W18" i="25"/>
  <c r="U18" i="25"/>
  <c r="T18" i="25"/>
  <c r="R18" i="25"/>
  <c r="Q18" i="25"/>
  <c r="O18" i="25"/>
  <c r="N18" i="25"/>
  <c r="L18" i="25"/>
  <c r="K18" i="25"/>
  <c r="I18" i="25"/>
  <c r="H18" i="25"/>
  <c r="F18" i="25"/>
  <c r="X17" i="25"/>
  <c r="H17" i="25"/>
  <c r="X16" i="25"/>
  <c r="W16" i="25"/>
  <c r="H16" i="25"/>
  <c r="X15" i="25"/>
  <c r="T15" i="25"/>
  <c r="Q15" i="25"/>
  <c r="N15" i="25"/>
  <c r="K15" i="25"/>
  <c r="H15" i="25"/>
  <c r="X14" i="25"/>
  <c r="X13" i="25"/>
  <c r="T13" i="25"/>
  <c r="Q13" i="25"/>
  <c r="N13" i="25"/>
  <c r="K13" i="25"/>
  <c r="H13" i="25"/>
  <c r="X12" i="25"/>
  <c r="V12" i="25"/>
  <c r="T12" i="25"/>
  <c r="S12" i="25"/>
  <c r="Q12" i="25"/>
  <c r="P12" i="25"/>
  <c r="N12" i="25"/>
  <c r="M12" i="25"/>
  <c r="K12" i="25"/>
  <c r="J12" i="25"/>
  <c r="H12" i="25"/>
  <c r="G12" i="25"/>
  <c r="X10" i="25"/>
  <c r="W10" i="25"/>
  <c r="U10" i="25"/>
  <c r="T10" i="25"/>
  <c r="R10" i="25"/>
  <c r="Q10" i="25"/>
  <c r="O10" i="25"/>
  <c r="N10" i="25"/>
  <c r="L10" i="25"/>
  <c r="K10" i="25"/>
  <c r="I10" i="25"/>
  <c r="H10" i="25"/>
  <c r="F10" i="25"/>
  <c r="X9" i="25"/>
  <c r="H9" i="25"/>
  <c r="X8" i="25"/>
  <c r="W8" i="25"/>
  <c r="H8" i="25"/>
  <c r="X7" i="25"/>
  <c r="T7" i="25"/>
  <c r="Q7" i="25"/>
  <c r="N7" i="25"/>
  <c r="K7" i="25"/>
  <c r="H7" i="25"/>
  <c r="X6" i="25"/>
  <c r="X5" i="25"/>
  <c r="T5" i="25"/>
  <c r="Q5" i="25"/>
  <c r="N5" i="25"/>
  <c r="K5" i="25"/>
  <c r="H5" i="25"/>
  <c r="X4" i="25"/>
  <c r="V4" i="25"/>
  <c r="T4" i="25"/>
  <c r="S4" i="25"/>
  <c r="Q4" i="25"/>
  <c r="P4" i="25"/>
  <c r="N4" i="25"/>
  <c r="M4" i="25"/>
  <c r="K4" i="25"/>
  <c r="J4" i="25"/>
  <c r="H4" i="25"/>
  <c r="G4" i="25"/>
  <c r="B45" i="24"/>
  <c r="B44" i="24"/>
  <c r="B43" i="24"/>
  <c r="J38" i="24"/>
  <c r="H38" i="24"/>
  <c r="F38" i="24"/>
  <c r="J37" i="24"/>
  <c r="I37" i="24"/>
  <c r="H37" i="24"/>
  <c r="G37" i="24"/>
  <c r="F37" i="24"/>
  <c r="E37" i="24"/>
  <c r="D37" i="24"/>
  <c r="J36" i="24"/>
  <c r="I36" i="24"/>
  <c r="H36" i="24"/>
  <c r="G36" i="24"/>
  <c r="F36" i="24"/>
  <c r="E36" i="24"/>
  <c r="J35" i="24"/>
  <c r="I35" i="24"/>
  <c r="H35" i="24"/>
  <c r="G35" i="24"/>
  <c r="F35" i="24"/>
  <c r="E35" i="24"/>
  <c r="D35" i="24"/>
  <c r="J34" i="24"/>
  <c r="I34" i="24"/>
  <c r="H34" i="24"/>
  <c r="G34" i="24"/>
  <c r="F34" i="24"/>
  <c r="E34" i="24"/>
  <c r="J33" i="24"/>
  <c r="I33" i="24"/>
  <c r="H33" i="24"/>
  <c r="G33" i="24"/>
  <c r="F33" i="24"/>
  <c r="E33" i="24"/>
  <c r="J32" i="24"/>
  <c r="I32" i="24"/>
  <c r="H32" i="24"/>
  <c r="G32" i="24"/>
  <c r="F32" i="24"/>
  <c r="E32" i="24"/>
  <c r="J31" i="24"/>
  <c r="I31" i="24"/>
  <c r="H31" i="24"/>
  <c r="G31" i="24"/>
  <c r="F31" i="24"/>
  <c r="E31" i="24"/>
  <c r="X26" i="24"/>
  <c r="W26" i="24"/>
  <c r="U26" i="24"/>
  <c r="T26" i="24"/>
  <c r="R26" i="24"/>
  <c r="Q26" i="24"/>
  <c r="O26" i="24"/>
  <c r="N26" i="24"/>
  <c r="L26" i="24"/>
  <c r="K26" i="24"/>
  <c r="I26" i="24"/>
  <c r="H26" i="24"/>
  <c r="F26" i="24"/>
  <c r="X25" i="24"/>
  <c r="H25" i="24"/>
  <c r="X24" i="24"/>
  <c r="W24" i="24"/>
  <c r="H24" i="24"/>
  <c r="X23" i="24"/>
  <c r="T23" i="24"/>
  <c r="Q23" i="24"/>
  <c r="N23" i="24"/>
  <c r="K23" i="24"/>
  <c r="H23" i="24"/>
  <c r="X22" i="24"/>
  <c r="X21" i="24"/>
  <c r="T21" i="24"/>
  <c r="Q21" i="24"/>
  <c r="N21" i="24"/>
  <c r="K21" i="24"/>
  <c r="H21" i="24"/>
  <c r="X20" i="24"/>
  <c r="V20" i="24"/>
  <c r="T20" i="24"/>
  <c r="S20" i="24"/>
  <c r="Q20" i="24"/>
  <c r="P20" i="24"/>
  <c r="N20" i="24"/>
  <c r="M20" i="24"/>
  <c r="K20" i="24"/>
  <c r="J20" i="24"/>
  <c r="H20" i="24"/>
  <c r="G20" i="24"/>
  <c r="X18" i="24"/>
  <c r="W18" i="24"/>
  <c r="U18" i="24"/>
  <c r="T18" i="24"/>
  <c r="R18" i="24"/>
  <c r="Q18" i="24"/>
  <c r="O18" i="24"/>
  <c r="N18" i="24"/>
  <c r="L18" i="24"/>
  <c r="K18" i="24"/>
  <c r="I18" i="24"/>
  <c r="H18" i="24"/>
  <c r="F18" i="24"/>
  <c r="X17" i="24"/>
  <c r="H17" i="24"/>
  <c r="X16" i="24"/>
  <c r="W16" i="24"/>
  <c r="H16" i="24"/>
  <c r="X15" i="24"/>
  <c r="T15" i="24"/>
  <c r="Q15" i="24"/>
  <c r="N15" i="24"/>
  <c r="K15" i="24"/>
  <c r="H15" i="24"/>
  <c r="X14" i="24"/>
  <c r="X13" i="24"/>
  <c r="T13" i="24"/>
  <c r="Q13" i="24"/>
  <c r="N13" i="24"/>
  <c r="K13" i="24"/>
  <c r="H13" i="24"/>
  <c r="X12" i="24"/>
  <c r="V12" i="24"/>
  <c r="T12" i="24"/>
  <c r="S12" i="24"/>
  <c r="Q12" i="24"/>
  <c r="P12" i="24"/>
  <c r="N12" i="24"/>
  <c r="M12" i="24"/>
  <c r="K12" i="24"/>
  <c r="J12" i="24"/>
  <c r="H12" i="24"/>
  <c r="G12" i="24"/>
  <c r="X10" i="24"/>
  <c r="W10" i="24"/>
  <c r="U10" i="24"/>
  <c r="T10" i="24"/>
  <c r="R10" i="24"/>
  <c r="Q10" i="24"/>
  <c r="O10" i="24"/>
  <c r="N10" i="24"/>
  <c r="L10" i="24"/>
  <c r="K10" i="24"/>
  <c r="I10" i="24"/>
  <c r="H10" i="24"/>
  <c r="F10" i="24"/>
  <c r="X9" i="24"/>
  <c r="H9" i="24"/>
  <c r="X8" i="24"/>
  <c r="W8" i="24"/>
  <c r="H8" i="24"/>
  <c r="X7" i="24"/>
  <c r="T7" i="24"/>
  <c r="Q7" i="24"/>
  <c r="N7" i="24"/>
  <c r="K7" i="24"/>
  <c r="H7" i="24"/>
  <c r="X6" i="24"/>
  <c r="X5" i="24"/>
  <c r="T5" i="24"/>
  <c r="Q5" i="24"/>
  <c r="N5" i="24"/>
  <c r="K5" i="24"/>
  <c r="H5" i="24"/>
  <c r="X4" i="24"/>
  <c r="V4" i="24"/>
  <c r="T4" i="24"/>
  <c r="S4" i="24"/>
  <c r="Q4" i="24"/>
  <c r="P4" i="24"/>
  <c r="N4" i="24"/>
  <c r="M4" i="24"/>
  <c r="K4" i="24"/>
  <c r="J4" i="24"/>
  <c r="H4" i="24"/>
  <c r="G4" i="24"/>
  <c r="B45" i="23"/>
  <c r="B44" i="23"/>
  <c r="B43" i="23"/>
  <c r="J38" i="23"/>
  <c r="H38" i="23"/>
  <c r="F38" i="23"/>
  <c r="J37" i="23"/>
  <c r="I37" i="23"/>
  <c r="H37" i="23"/>
  <c r="G37" i="23"/>
  <c r="F37" i="23"/>
  <c r="E37" i="23"/>
  <c r="D37" i="23"/>
  <c r="J36" i="23"/>
  <c r="I36" i="23"/>
  <c r="H36" i="23"/>
  <c r="G36" i="23"/>
  <c r="F36" i="23"/>
  <c r="E36" i="23"/>
  <c r="J35" i="23"/>
  <c r="I35" i="23"/>
  <c r="H35" i="23"/>
  <c r="G35" i="23"/>
  <c r="F35" i="23"/>
  <c r="E35" i="23"/>
  <c r="D35" i="23"/>
  <c r="J34" i="23"/>
  <c r="I34" i="23"/>
  <c r="H34" i="23"/>
  <c r="G34" i="23"/>
  <c r="F34" i="23"/>
  <c r="E34" i="23"/>
  <c r="J33" i="23"/>
  <c r="I33" i="23"/>
  <c r="H33" i="23"/>
  <c r="G33" i="23"/>
  <c r="F33" i="23"/>
  <c r="E33" i="23"/>
  <c r="J32" i="23"/>
  <c r="I32" i="23"/>
  <c r="H32" i="23"/>
  <c r="G32" i="23"/>
  <c r="F32" i="23"/>
  <c r="E32" i="23"/>
  <c r="J31" i="23"/>
  <c r="I31" i="23"/>
  <c r="H31" i="23"/>
  <c r="G31" i="23"/>
  <c r="F31" i="23"/>
  <c r="E31" i="23"/>
  <c r="X26" i="23"/>
  <c r="W26" i="23"/>
  <c r="U26" i="23"/>
  <c r="T26" i="23"/>
  <c r="R26" i="23"/>
  <c r="Q26" i="23"/>
  <c r="O26" i="23"/>
  <c r="N26" i="23"/>
  <c r="L26" i="23"/>
  <c r="K26" i="23"/>
  <c r="I26" i="23"/>
  <c r="H26" i="23"/>
  <c r="F26" i="23"/>
  <c r="X25" i="23"/>
  <c r="H25" i="23"/>
  <c r="X24" i="23"/>
  <c r="W24" i="23"/>
  <c r="H24" i="23"/>
  <c r="X23" i="23"/>
  <c r="T23" i="23"/>
  <c r="Q23" i="23"/>
  <c r="N23" i="23"/>
  <c r="K23" i="23"/>
  <c r="H23" i="23"/>
  <c r="X22" i="23"/>
  <c r="X21" i="23"/>
  <c r="T21" i="23"/>
  <c r="Q21" i="23"/>
  <c r="N21" i="23"/>
  <c r="K21" i="23"/>
  <c r="H21" i="23"/>
  <c r="X20" i="23"/>
  <c r="V20" i="23"/>
  <c r="T20" i="23"/>
  <c r="S20" i="23"/>
  <c r="Q20" i="23"/>
  <c r="P20" i="23"/>
  <c r="N20" i="23"/>
  <c r="M20" i="23"/>
  <c r="K20" i="23"/>
  <c r="J20" i="23"/>
  <c r="H20" i="23"/>
  <c r="G20" i="23"/>
  <c r="X18" i="23"/>
  <c r="W18" i="23"/>
  <c r="U18" i="23"/>
  <c r="T18" i="23"/>
  <c r="R18" i="23"/>
  <c r="Q18" i="23"/>
  <c r="O18" i="23"/>
  <c r="N18" i="23"/>
  <c r="L18" i="23"/>
  <c r="K18" i="23"/>
  <c r="I18" i="23"/>
  <c r="H18" i="23"/>
  <c r="F18" i="23"/>
  <c r="X17" i="23"/>
  <c r="H17" i="23"/>
  <c r="X16" i="23"/>
  <c r="W16" i="23"/>
  <c r="H16" i="23"/>
  <c r="X15" i="23"/>
  <c r="T15" i="23"/>
  <c r="Q15" i="23"/>
  <c r="N15" i="23"/>
  <c r="K15" i="23"/>
  <c r="H15" i="23"/>
  <c r="X14" i="23"/>
  <c r="X13" i="23"/>
  <c r="T13" i="23"/>
  <c r="Q13" i="23"/>
  <c r="N13" i="23"/>
  <c r="K13" i="23"/>
  <c r="H13" i="23"/>
  <c r="X12" i="23"/>
  <c r="V12" i="23"/>
  <c r="T12" i="23"/>
  <c r="S12" i="23"/>
  <c r="Q12" i="23"/>
  <c r="P12" i="23"/>
  <c r="N12" i="23"/>
  <c r="M12" i="23"/>
  <c r="K12" i="23"/>
  <c r="J12" i="23"/>
  <c r="H12" i="23"/>
  <c r="G12" i="23"/>
  <c r="X10" i="23"/>
  <c r="W10" i="23"/>
  <c r="U10" i="23"/>
  <c r="T10" i="23"/>
  <c r="R10" i="23"/>
  <c r="Q10" i="23"/>
  <c r="O10" i="23"/>
  <c r="N10" i="23"/>
  <c r="L10" i="23"/>
  <c r="K10" i="23"/>
  <c r="I10" i="23"/>
  <c r="H10" i="23"/>
  <c r="F10" i="23"/>
  <c r="X9" i="23"/>
  <c r="H9" i="23"/>
  <c r="X8" i="23"/>
  <c r="W8" i="23"/>
  <c r="H8" i="23"/>
  <c r="X7" i="23"/>
  <c r="T7" i="23"/>
  <c r="Q7" i="23"/>
  <c r="N7" i="23"/>
  <c r="K7" i="23"/>
  <c r="H7" i="23"/>
  <c r="X6" i="23"/>
  <c r="X5" i="23"/>
  <c r="T5" i="23"/>
  <c r="Q5" i="23"/>
  <c r="N5" i="23"/>
  <c r="K5" i="23"/>
  <c r="H5" i="23"/>
  <c r="X4" i="23"/>
  <c r="V4" i="23"/>
  <c r="T4" i="23"/>
  <c r="S4" i="23"/>
  <c r="Q4" i="23"/>
  <c r="P4" i="23"/>
  <c r="N4" i="23"/>
  <c r="M4" i="23"/>
  <c r="K4" i="23"/>
  <c r="J4" i="23"/>
  <c r="H4" i="23"/>
  <c r="G4" i="23"/>
  <c r="B45" i="22"/>
  <c r="B44" i="22"/>
  <c r="B43" i="22"/>
  <c r="J38" i="22"/>
  <c r="H38" i="22"/>
  <c r="F38" i="22"/>
  <c r="J37" i="22"/>
  <c r="I37" i="22"/>
  <c r="H37" i="22"/>
  <c r="G37" i="22"/>
  <c r="F37" i="22"/>
  <c r="E37" i="22"/>
  <c r="D37" i="22"/>
  <c r="J36" i="22"/>
  <c r="I36" i="22"/>
  <c r="H36" i="22"/>
  <c r="G36" i="22"/>
  <c r="F36" i="22"/>
  <c r="E36" i="22"/>
  <c r="J35" i="22"/>
  <c r="I35" i="22"/>
  <c r="H35" i="22"/>
  <c r="G35" i="22"/>
  <c r="F35" i="22"/>
  <c r="E35" i="22"/>
  <c r="D35" i="22"/>
  <c r="J34" i="22"/>
  <c r="I34" i="22"/>
  <c r="H34" i="22"/>
  <c r="G34" i="22"/>
  <c r="F34" i="22"/>
  <c r="E34" i="22"/>
  <c r="J33" i="22"/>
  <c r="I33" i="22"/>
  <c r="H33" i="22"/>
  <c r="G33" i="22"/>
  <c r="F33" i="22"/>
  <c r="E33" i="22"/>
  <c r="J32" i="22"/>
  <c r="I32" i="22"/>
  <c r="H32" i="22"/>
  <c r="G32" i="22"/>
  <c r="F32" i="22"/>
  <c r="E32" i="22"/>
  <c r="J31" i="22"/>
  <c r="I31" i="22"/>
  <c r="H31" i="22"/>
  <c r="G31" i="22"/>
  <c r="F31" i="22"/>
  <c r="E31" i="22"/>
  <c r="X26" i="22"/>
  <c r="W26" i="22"/>
  <c r="U26" i="22"/>
  <c r="T26" i="22"/>
  <c r="R26" i="22"/>
  <c r="Q26" i="22"/>
  <c r="O26" i="22"/>
  <c r="N26" i="22"/>
  <c r="L26" i="22"/>
  <c r="K26" i="22"/>
  <c r="I26" i="22"/>
  <c r="H26" i="22"/>
  <c r="F26" i="22"/>
  <c r="X25" i="22"/>
  <c r="H25" i="22"/>
  <c r="X24" i="22"/>
  <c r="W24" i="22"/>
  <c r="H24" i="22"/>
  <c r="X23" i="22"/>
  <c r="T23" i="22"/>
  <c r="Q23" i="22"/>
  <c r="N23" i="22"/>
  <c r="K23" i="22"/>
  <c r="H23" i="22"/>
  <c r="X22" i="22"/>
  <c r="X21" i="22"/>
  <c r="T21" i="22"/>
  <c r="Q21" i="22"/>
  <c r="N21" i="22"/>
  <c r="K21" i="22"/>
  <c r="H21" i="22"/>
  <c r="X20" i="22"/>
  <c r="V20" i="22"/>
  <c r="T20" i="22"/>
  <c r="S20" i="22"/>
  <c r="Q20" i="22"/>
  <c r="P20" i="22"/>
  <c r="N20" i="22"/>
  <c r="M20" i="22"/>
  <c r="K20" i="22"/>
  <c r="J20" i="22"/>
  <c r="H20" i="22"/>
  <c r="G20" i="22"/>
  <c r="X18" i="22"/>
  <c r="W18" i="22"/>
  <c r="U18" i="22"/>
  <c r="T18" i="22"/>
  <c r="R18" i="22"/>
  <c r="Q18" i="22"/>
  <c r="O18" i="22"/>
  <c r="N18" i="22"/>
  <c r="L18" i="22"/>
  <c r="K18" i="22"/>
  <c r="I18" i="22"/>
  <c r="H18" i="22"/>
  <c r="F18" i="22"/>
  <c r="X17" i="22"/>
  <c r="H17" i="22"/>
  <c r="X16" i="22"/>
  <c r="W16" i="22"/>
  <c r="H16" i="22"/>
  <c r="X15" i="22"/>
  <c r="T15" i="22"/>
  <c r="Q15" i="22"/>
  <c r="N15" i="22"/>
  <c r="K15" i="22"/>
  <c r="H15" i="22"/>
  <c r="X14" i="22"/>
  <c r="X13" i="22"/>
  <c r="T13" i="22"/>
  <c r="Q13" i="22"/>
  <c r="N13" i="22"/>
  <c r="K13" i="22"/>
  <c r="H13" i="22"/>
  <c r="X12" i="22"/>
  <c r="V12" i="22"/>
  <c r="T12" i="22"/>
  <c r="S12" i="22"/>
  <c r="Q12" i="22"/>
  <c r="P12" i="22"/>
  <c r="N12" i="22"/>
  <c r="M12" i="22"/>
  <c r="K12" i="22"/>
  <c r="J12" i="22"/>
  <c r="H12" i="22"/>
  <c r="G12" i="22"/>
  <c r="X10" i="22"/>
  <c r="W10" i="22"/>
  <c r="U10" i="22"/>
  <c r="T10" i="22"/>
  <c r="R10" i="22"/>
  <c r="Q10" i="22"/>
  <c r="O10" i="22"/>
  <c r="N10" i="22"/>
  <c r="L10" i="22"/>
  <c r="K10" i="22"/>
  <c r="I10" i="22"/>
  <c r="H10" i="22"/>
  <c r="F10" i="22"/>
  <c r="X9" i="22"/>
  <c r="H9" i="22"/>
  <c r="X8" i="22"/>
  <c r="W8" i="22"/>
  <c r="H8" i="22"/>
  <c r="X7" i="22"/>
  <c r="T7" i="22"/>
  <c r="Q7" i="22"/>
  <c r="N7" i="22"/>
  <c r="K7" i="22"/>
  <c r="H7" i="22"/>
  <c r="X6" i="22"/>
  <c r="X5" i="22"/>
  <c r="T5" i="22"/>
  <c r="Q5" i="22"/>
  <c r="N5" i="22"/>
  <c r="K5" i="22"/>
  <c r="H5" i="22"/>
  <c r="X4" i="22"/>
  <c r="V4" i="22"/>
  <c r="T4" i="22"/>
  <c r="S4" i="22"/>
  <c r="Q4" i="22"/>
  <c r="P4" i="22"/>
  <c r="N4" i="22"/>
  <c r="M4" i="22"/>
  <c r="K4" i="22"/>
  <c r="J4" i="22"/>
  <c r="H4" i="22"/>
  <c r="G4" i="22"/>
  <c r="B45" i="21"/>
  <c r="B44" i="21"/>
  <c r="B43" i="21"/>
  <c r="J38" i="21"/>
  <c r="H38" i="21"/>
  <c r="F38" i="21"/>
  <c r="J37" i="21"/>
  <c r="I37" i="21"/>
  <c r="H37" i="21"/>
  <c r="G37" i="21"/>
  <c r="F37" i="21"/>
  <c r="E37" i="21"/>
  <c r="D37" i="21"/>
  <c r="J36" i="21"/>
  <c r="I36" i="21"/>
  <c r="H36" i="21"/>
  <c r="G36" i="21"/>
  <c r="F36" i="21"/>
  <c r="E36" i="21"/>
  <c r="J35" i="21"/>
  <c r="I35" i="21"/>
  <c r="H35" i="21"/>
  <c r="G35" i="21"/>
  <c r="F35" i="21"/>
  <c r="E35" i="21"/>
  <c r="D35" i="21"/>
  <c r="J34" i="21"/>
  <c r="I34" i="21"/>
  <c r="H34" i="21"/>
  <c r="G34" i="21"/>
  <c r="F34" i="21"/>
  <c r="E34" i="21"/>
  <c r="J33" i="21"/>
  <c r="I33" i="21"/>
  <c r="H33" i="21"/>
  <c r="G33" i="21"/>
  <c r="F33" i="21"/>
  <c r="E33" i="21"/>
  <c r="J32" i="21"/>
  <c r="I32" i="21"/>
  <c r="H32" i="21"/>
  <c r="G32" i="21"/>
  <c r="F32" i="21"/>
  <c r="E32" i="21"/>
  <c r="J31" i="21"/>
  <c r="I31" i="21"/>
  <c r="H31" i="21"/>
  <c r="G31" i="21"/>
  <c r="F31" i="21"/>
  <c r="E31" i="21"/>
  <c r="X26" i="21"/>
  <c r="W26" i="21"/>
  <c r="U26" i="21"/>
  <c r="T26" i="21"/>
  <c r="R26" i="21"/>
  <c r="Q26" i="21"/>
  <c r="O26" i="21"/>
  <c r="N26" i="21"/>
  <c r="L26" i="21"/>
  <c r="K26" i="21"/>
  <c r="I26" i="21"/>
  <c r="H26" i="21"/>
  <c r="F26" i="21"/>
  <c r="X25" i="21"/>
  <c r="H25" i="21"/>
  <c r="X24" i="21"/>
  <c r="W24" i="21"/>
  <c r="H24" i="21"/>
  <c r="X23" i="21"/>
  <c r="T23" i="21"/>
  <c r="Q23" i="21"/>
  <c r="N23" i="21"/>
  <c r="K23" i="21"/>
  <c r="H23" i="21"/>
  <c r="X22" i="21"/>
  <c r="X21" i="21"/>
  <c r="T21" i="21"/>
  <c r="Q21" i="21"/>
  <c r="N21" i="21"/>
  <c r="K21" i="21"/>
  <c r="H21" i="21"/>
  <c r="X20" i="21"/>
  <c r="V20" i="21"/>
  <c r="T20" i="21"/>
  <c r="S20" i="21"/>
  <c r="Q20" i="21"/>
  <c r="P20" i="21"/>
  <c r="N20" i="21"/>
  <c r="M20" i="21"/>
  <c r="K20" i="21"/>
  <c r="J20" i="21"/>
  <c r="H20" i="21"/>
  <c r="G20" i="21"/>
  <c r="X18" i="21"/>
  <c r="W18" i="21"/>
  <c r="U18" i="21"/>
  <c r="T18" i="21"/>
  <c r="R18" i="21"/>
  <c r="Q18" i="21"/>
  <c r="O18" i="21"/>
  <c r="N18" i="21"/>
  <c r="L18" i="21"/>
  <c r="K18" i="21"/>
  <c r="I18" i="21"/>
  <c r="H18" i="21"/>
  <c r="F18" i="21"/>
  <c r="X17" i="21"/>
  <c r="H17" i="21"/>
  <c r="X16" i="21"/>
  <c r="W16" i="21"/>
  <c r="H16" i="21"/>
  <c r="X15" i="21"/>
  <c r="T15" i="21"/>
  <c r="Q15" i="21"/>
  <c r="N15" i="21"/>
  <c r="K15" i="21"/>
  <c r="H15" i="21"/>
  <c r="X14" i="21"/>
  <c r="X13" i="21"/>
  <c r="T13" i="21"/>
  <c r="Q13" i="21"/>
  <c r="N13" i="21"/>
  <c r="K13" i="21"/>
  <c r="H13" i="21"/>
  <c r="X12" i="21"/>
  <c r="V12" i="21"/>
  <c r="T12" i="21"/>
  <c r="S12" i="21"/>
  <c r="Q12" i="21"/>
  <c r="P12" i="21"/>
  <c r="N12" i="21"/>
  <c r="M12" i="21"/>
  <c r="K12" i="21"/>
  <c r="J12" i="21"/>
  <c r="H12" i="21"/>
  <c r="G12" i="21"/>
  <c r="X10" i="21"/>
  <c r="W10" i="21"/>
  <c r="U10" i="21"/>
  <c r="T10" i="21"/>
  <c r="R10" i="21"/>
  <c r="Q10" i="21"/>
  <c r="O10" i="21"/>
  <c r="N10" i="21"/>
  <c r="L10" i="21"/>
  <c r="K10" i="21"/>
  <c r="I10" i="21"/>
  <c r="H10" i="21"/>
  <c r="F10" i="21"/>
  <c r="X9" i="21"/>
  <c r="H9" i="21"/>
  <c r="X8" i="21"/>
  <c r="W8" i="21"/>
  <c r="H8" i="21"/>
  <c r="X7" i="21"/>
  <c r="T7" i="21"/>
  <c r="Q7" i="21"/>
  <c r="N7" i="21"/>
  <c r="K7" i="21"/>
  <c r="H7" i="21"/>
  <c r="X6" i="21"/>
  <c r="X5" i="21"/>
  <c r="T5" i="21"/>
  <c r="Q5" i="21"/>
  <c r="N5" i="21"/>
  <c r="K5" i="21"/>
  <c r="H5" i="21"/>
  <c r="X4" i="21"/>
  <c r="V4" i="21"/>
  <c r="T4" i="21"/>
  <c r="S4" i="21"/>
  <c r="Q4" i="21"/>
  <c r="P4" i="21"/>
  <c r="N4" i="21"/>
  <c r="M4" i="21"/>
  <c r="K4" i="21"/>
  <c r="J4" i="21"/>
  <c r="H4" i="21"/>
  <c r="G4" i="21"/>
  <c r="B45" i="20"/>
  <c r="B44" i="20"/>
  <c r="B43" i="20"/>
  <c r="J38" i="20"/>
  <c r="H38" i="20"/>
  <c r="F38" i="20"/>
  <c r="J37" i="20"/>
  <c r="I37" i="20"/>
  <c r="H37" i="20"/>
  <c r="G37" i="20"/>
  <c r="F37" i="20"/>
  <c r="E37" i="20"/>
  <c r="D37" i="20"/>
  <c r="J36" i="20"/>
  <c r="I36" i="20"/>
  <c r="H36" i="20"/>
  <c r="G36" i="20"/>
  <c r="F36" i="20"/>
  <c r="E36" i="20"/>
  <c r="J35" i="20"/>
  <c r="I35" i="20"/>
  <c r="H35" i="20"/>
  <c r="G35" i="20"/>
  <c r="F35" i="20"/>
  <c r="E35" i="20"/>
  <c r="D35" i="20"/>
  <c r="J34" i="20"/>
  <c r="I34" i="20"/>
  <c r="H34" i="20"/>
  <c r="G34" i="20"/>
  <c r="F34" i="20"/>
  <c r="E34" i="20"/>
  <c r="J33" i="20"/>
  <c r="I33" i="20"/>
  <c r="H33" i="20"/>
  <c r="G33" i="20"/>
  <c r="F33" i="20"/>
  <c r="E33" i="20"/>
  <c r="J32" i="20"/>
  <c r="I32" i="20"/>
  <c r="H32" i="20"/>
  <c r="G32" i="20"/>
  <c r="F32" i="20"/>
  <c r="E32" i="20"/>
  <c r="J31" i="20"/>
  <c r="I31" i="20"/>
  <c r="H31" i="20"/>
  <c r="G31" i="20"/>
  <c r="F31" i="20"/>
  <c r="E31" i="20"/>
  <c r="X26" i="20"/>
  <c r="W26" i="20"/>
  <c r="U26" i="20"/>
  <c r="T26" i="20"/>
  <c r="R26" i="20"/>
  <c r="Q26" i="20"/>
  <c r="O26" i="20"/>
  <c r="N26" i="20"/>
  <c r="L26" i="20"/>
  <c r="K26" i="20"/>
  <c r="I26" i="20"/>
  <c r="H26" i="20"/>
  <c r="F26" i="20"/>
  <c r="X25" i="20"/>
  <c r="H25" i="20"/>
  <c r="X24" i="20"/>
  <c r="W24" i="20"/>
  <c r="H24" i="20"/>
  <c r="X23" i="20"/>
  <c r="T23" i="20"/>
  <c r="Q23" i="20"/>
  <c r="N23" i="20"/>
  <c r="K23" i="20"/>
  <c r="H23" i="20"/>
  <c r="X22" i="20"/>
  <c r="X21" i="20"/>
  <c r="T21" i="20"/>
  <c r="Q21" i="20"/>
  <c r="N21" i="20"/>
  <c r="K21" i="20"/>
  <c r="H21" i="20"/>
  <c r="X20" i="20"/>
  <c r="V20" i="20"/>
  <c r="T20" i="20"/>
  <c r="S20" i="20"/>
  <c r="Q20" i="20"/>
  <c r="P20" i="20"/>
  <c r="N20" i="20"/>
  <c r="M20" i="20"/>
  <c r="K20" i="20"/>
  <c r="J20" i="20"/>
  <c r="H20" i="20"/>
  <c r="G20" i="20"/>
  <c r="X18" i="20"/>
  <c r="W18" i="20"/>
  <c r="U18" i="20"/>
  <c r="T18" i="20"/>
  <c r="R18" i="20"/>
  <c r="Q18" i="20"/>
  <c r="O18" i="20"/>
  <c r="N18" i="20"/>
  <c r="L18" i="20"/>
  <c r="K18" i="20"/>
  <c r="I18" i="20"/>
  <c r="H18" i="20"/>
  <c r="F18" i="20"/>
  <c r="X17" i="20"/>
  <c r="H17" i="20"/>
  <c r="X16" i="20"/>
  <c r="W16" i="20"/>
  <c r="H16" i="20"/>
  <c r="X15" i="20"/>
  <c r="T15" i="20"/>
  <c r="Q15" i="20"/>
  <c r="N15" i="20"/>
  <c r="K15" i="20"/>
  <c r="H15" i="20"/>
  <c r="X14" i="20"/>
  <c r="X13" i="20"/>
  <c r="T13" i="20"/>
  <c r="Q13" i="20"/>
  <c r="N13" i="20"/>
  <c r="K13" i="20"/>
  <c r="H13" i="20"/>
  <c r="X12" i="20"/>
  <c r="V12" i="20"/>
  <c r="T12" i="20"/>
  <c r="S12" i="20"/>
  <c r="Q12" i="20"/>
  <c r="P12" i="20"/>
  <c r="N12" i="20"/>
  <c r="M12" i="20"/>
  <c r="K12" i="20"/>
  <c r="J12" i="20"/>
  <c r="H12" i="20"/>
  <c r="G12" i="20"/>
  <c r="X10" i="20"/>
  <c r="W10" i="20"/>
  <c r="U10" i="20"/>
  <c r="T10" i="20"/>
  <c r="R10" i="20"/>
  <c r="Q10" i="20"/>
  <c r="O10" i="20"/>
  <c r="N10" i="20"/>
  <c r="L10" i="20"/>
  <c r="K10" i="20"/>
  <c r="I10" i="20"/>
  <c r="H10" i="20"/>
  <c r="F10" i="20"/>
  <c r="X9" i="20"/>
  <c r="H9" i="20"/>
  <c r="X8" i="20"/>
  <c r="W8" i="20"/>
  <c r="H8" i="20"/>
  <c r="X7" i="20"/>
  <c r="T7" i="20"/>
  <c r="Q7" i="20"/>
  <c r="N7" i="20"/>
  <c r="K7" i="20"/>
  <c r="H7" i="20"/>
  <c r="X6" i="20"/>
  <c r="X5" i="20"/>
  <c r="T5" i="20"/>
  <c r="Q5" i="20"/>
  <c r="N5" i="20"/>
  <c r="K5" i="20"/>
  <c r="H5" i="20"/>
  <c r="X4" i="20"/>
  <c r="V4" i="20"/>
  <c r="T4" i="20"/>
  <c r="S4" i="20"/>
  <c r="Q4" i="20"/>
  <c r="P4" i="20"/>
  <c r="N4" i="20"/>
  <c r="M4" i="20"/>
  <c r="K4" i="20"/>
  <c r="J4" i="20"/>
  <c r="H4" i="20"/>
  <c r="G4" i="20"/>
  <c r="B45" i="19"/>
  <c r="B44" i="19"/>
  <c r="B43" i="19"/>
  <c r="J38" i="19"/>
  <c r="H38" i="19"/>
  <c r="F38" i="19"/>
  <c r="J37" i="19"/>
  <c r="I37" i="19"/>
  <c r="H37" i="19"/>
  <c r="G37" i="19"/>
  <c r="F37" i="19"/>
  <c r="E37" i="19"/>
  <c r="D37" i="19"/>
  <c r="J36" i="19"/>
  <c r="I36" i="19"/>
  <c r="H36" i="19"/>
  <c r="G36" i="19"/>
  <c r="F36" i="19"/>
  <c r="E36" i="19"/>
  <c r="J35" i="19"/>
  <c r="I35" i="19"/>
  <c r="H35" i="19"/>
  <c r="G35" i="19"/>
  <c r="F35" i="19"/>
  <c r="E35" i="19"/>
  <c r="D35" i="19"/>
  <c r="J34" i="19"/>
  <c r="I34" i="19"/>
  <c r="H34" i="19"/>
  <c r="G34" i="19"/>
  <c r="F34" i="19"/>
  <c r="E34" i="19"/>
  <c r="J33" i="19"/>
  <c r="I33" i="19"/>
  <c r="H33" i="19"/>
  <c r="G33" i="19"/>
  <c r="F33" i="19"/>
  <c r="E33" i="19"/>
  <c r="J32" i="19"/>
  <c r="I32" i="19"/>
  <c r="H32" i="19"/>
  <c r="G32" i="19"/>
  <c r="F32" i="19"/>
  <c r="E32" i="19"/>
  <c r="J31" i="19"/>
  <c r="I31" i="19"/>
  <c r="H31" i="19"/>
  <c r="G31" i="19"/>
  <c r="F31" i="19"/>
  <c r="E31" i="19"/>
  <c r="X26" i="19"/>
  <c r="W26" i="19"/>
  <c r="U26" i="19"/>
  <c r="T26" i="19"/>
  <c r="R26" i="19"/>
  <c r="Q26" i="19"/>
  <c r="O26" i="19"/>
  <c r="N26" i="19"/>
  <c r="L26" i="19"/>
  <c r="K26" i="19"/>
  <c r="I26" i="19"/>
  <c r="H26" i="19"/>
  <c r="F26" i="19"/>
  <c r="X25" i="19"/>
  <c r="H25" i="19"/>
  <c r="X24" i="19"/>
  <c r="W24" i="19"/>
  <c r="H24" i="19"/>
  <c r="X23" i="19"/>
  <c r="T23" i="19"/>
  <c r="Q23" i="19"/>
  <c r="N23" i="19"/>
  <c r="K23" i="19"/>
  <c r="H23" i="19"/>
  <c r="X22" i="19"/>
  <c r="X21" i="19"/>
  <c r="T21" i="19"/>
  <c r="Q21" i="19"/>
  <c r="N21" i="19"/>
  <c r="K21" i="19"/>
  <c r="H21" i="19"/>
  <c r="X20" i="19"/>
  <c r="V20" i="19"/>
  <c r="T20" i="19"/>
  <c r="S20" i="19"/>
  <c r="Q20" i="19"/>
  <c r="P20" i="19"/>
  <c r="N20" i="19"/>
  <c r="M20" i="19"/>
  <c r="K20" i="19"/>
  <c r="J20" i="19"/>
  <c r="H20" i="19"/>
  <c r="G20" i="19"/>
  <c r="X18" i="19"/>
  <c r="W18" i="19"/>
  <c r="U18" i="19"/>
  <c r="T18" i="19"/>
  <c r="R18" i="19"/>
  <c r="Q18" i="19"/>
  <c r="O18" i="19"/>
  <c r="N18" i="19"/>
  <c r="L18" i="19"/>
  <c r="K18" i="19"/>
  <c r="I18" i="19"/>
  <c r="H18" i="19"/>
  <c r="F18" i="19"/>
  <c r="X17" i="19"/>
  <c r="H17" i="19"/>
  <c r="X16" i="19"/>
  <c r="W16" i="19"/>
  <c r="H16" i="19"/>
  <c r="X15" i="19"/>
  <c r="T15" i="19"/>
  <c r="Q15" i="19"/>
  <c r="N15" i="19"/>
  <c r="K15" i="19"/>
  <c r="H15" i="19"/>
  <c r="X14" i="19"/>
  <c r="X13" i="19"/>
  <c r="T13" i="19"/>
  <c r="Q13" i="19"/>
  <c r="N13" i="19"/>
  <c r="K13" i="19"/>
  <c r="H13" i="19"/>
  <c r="X12" i="19"/>
  <c r="V12" i="19"/>
  <c r="T12" i="19"/>
  <c r="S12" i="19"/>
  <c r="Q12" i="19"/>
  <c r="P12" i="19"/>
  <c r="N12" i="19"/>
  <c r="M12" i="19"/>
  <c r="K12" i="19"/>
  <c r="J12" i="19"/>
  <c r="H12" i="19"/>
  <c r="G12" i="19"/>
  <c r="X10" i="19"/>
  <c r="W10" i="19"/>
  <c r="U10" i="19"/>
  <c r="T10" i="19"/>
  <c r="R10" i="19"/>
  <c r="Q10" i="19"/>
  <c r="O10" i="19"/>
  <c r="N10" i="19"/>
  <c r="L10" i="19"/>
  <c r="K10" i="19"/>
  <c r="I10" i="19"/>
  <c r="H10" i="19"/>
  <c r="F10" i="19"/>
  <c r="X9" i="19"/>
  <c r="H9" i="19"/>
  <c r="X8" i="19"/>
  <c r="W8" i="19"/>
  <c r="H8" i="19"/>
  <c r="X7" i="19"/>
  <c r="T7" i="19"/>
  <c r="Q7" i="19"/>
  <c r="N7" i="19"/>
  <c r="K7" i="19"/>
  <c r="H7" i="19"/>
  <c r="X6" i="19"/>
  <c r="X5" i="19"/>
  <c r="T5" i="19"/>
  <c r="Q5" i="19"/>
  <c r="N5" i="19"/>
  <c r="K5" i="19"/>
  <c r="H5" i="19"/>
  <c r="X4" i="19"/>
  <c r="V4" i="19"/>
  <c r="T4" i="19"/>
  <c r="S4" i="19"/>
  <c r="Q4" i="19"/>
  <c r="P4" i="19"/>
  <c r="N4" i="19"/>
  <c r="M4" i="19"/>
  <c r="K4" i="19"/>
  <c r="J4" i="19"/>
  <c r="H4" i="19"/>
  <c r="G4" i="19"/>
  <c r="B45" i="18"/>
  <c r="B44" i="18"/>
  <c r="B43" i="18"/>
  <c r="J38" i="18"/>
  <c r="H38" i="18"/>
  <c r="F38" i="18"/>
  <c r="J37" i="18"/>
  <c r="I37" i="18"/>
  <c r="H37" i="18"/>
  <c r="G37" i="18"/>
  <c r="F37" i="18"/>
  <c r="E37" i="18"/>
  <c r="D37" i="18"/>
  <c r="J36" i="18"/>
  <c r="I36" i="18"/>
  <c r="H36" i="18"/>
  <c r="G36" i="18"/>
  <c r="F36" i="18"/>
  <c r="E36" i="18"/>
  <c r="J35" i="18"/>
  <c r="I35" i="18"/>
  <c r="H35" i="18"/>
  <c r="G35" i="18"/>
  <c r="F35" i="18"/>
  <c r="E35" i="18"/>
  <c r="D35" i="18"/>
  <c r="J34" i="18"/>
  <c r="I34" i="18"/>
  <c r="H34" i="18"/>
  <c r="G34" i="18"/>
  <c r="F34" i="18"/>
  <c r="E34" i="18"/>
  <c r="J33" i="18"/>
  <c r="I33" i="18"/>
  <c r="H33" i="18"/>
  <c r="G33" i="18"/>
  <c r="F33" i="18"/>
  <c r="E33" i="18"/>
  <c r="J32" i="18"/>
  <c r="I32" i="18"/>
  <c r="H32" i="18"/>
  <c r="G32" i="18"/>
  <c r="F32" i="18"/>
  <c r="E32" i="18"/>
  <c r="J31" i="18"/>
  <c r="I31" i="18"/>
  <c r="H31" i="18"/>
  <c r="G31" i="18"/>
  <c r="F31" i="18"/>
  <c r="E31" i="18"/>
  <c r="X26" i="18"/>
  <c r="W26" i="18"/>
  <c r="U26" i="18"/>
  <c r="T26" i="18"/>
  <c r="R26" i="18"/>
  <c r="Q26" i="18"/>
  <c r="O26" i="18"/>
  <c r="N26" i="18"/>
  <c r="L26" i="18"/>
  <c r="K26" i="18"/>
  <c r="I26" i="18"/>
  <c r="H26" i="18"/>
  <c r="F26" i="18"/>
  <c r="X25" i="18"/>
  <c r="H25" i="18"/>
  <c r="X24" i="18"/>
  <c r="W24" i="18"/>
  <c r="H24" i="18"/>
  <c r="X23" i="18"/>
  <c r="T23" i="18"/>
  <c r="Q23" i="18"/>
  <c r="N23" i="18"/>
  <c r="K23" i="18"/>
  <c r="H23" i="18"/>
  <c r="X22" i="18"/>
  <c r="X21" i="18"/>
  <c r="T21" i="18"/>
  <c r="Q21" i="18"/>
  <c r="N21" i="18"/>
  <c r="K21" i="18"/>
  <c r="H21" i="18"/>
  <c r="X20" i="18"/>
  <c r="V20" i="18"/>
  <c r="T20" i="18"/>
  <c r="S20" i="18"/>
  <c r="Q20" i="18"/>
  <c r="P20" i="18"/>
  <c r="N20" i="18"/>
  <c r="M20" i="18"/>
  <c r="K20" i="18"/>
  <c r="J20" i="18"/>
  <c r="H20" i="18"/>
  <c r="G20" i="18"/>
  <c r="X18" i="18"/>
  <c r="W18" i="18"/>
  <c r="U18" i="18"/>
  <c r="T18" i="18"/>
  <c r="R18" i="18"/>
  <c r="Q18" i="18"/>
  <c r="O18" i="18"/>
  <c r="N18" i="18"/>
  <c r="L18" i="18"/>
  <c r="K18" i="18"/>
  <c r="I18" i="18"/>
  <c r="H18" i="18"/>
  <c r="F18" i="18"/>
  <c r="X17" i="18"/>
  <c r="H17" i="18"/>
  <c r="X16" i="18"/>
  <c r="W16" i="18"/>
  <c r="H16" i="18"/>
  <c r="X15" i="18"/>
  <c r="T15" i="18"/>
  <c r="Q15" i="18"/>
  <c r="N15" i="18"/>
  <c r="K15" i="18"/>
  <c r="H15" i="18"/>
  <c r="X14" i="18"/>
  <c r="X13" i="18"/>
  <c r="T13" i="18"/>
  <c r="Q13" i="18"/>
  <c r="N13" i="18"/>
  <c r="K13" i="18"/>
  <c r="H13" i="18"/>
  <c r="X12" i="18"/>
  <c r="V12" i="18"/>
  <c r="T12" i="18"/>
  <c r="S12" i="18"/>
  <c r="Q12" i="18"/>
  <c r="P12" i="18"/>
  <c r="N12" i="18"/>
  <c r="M12" i="18"/>
  <c r="K12" i="18"/>
  <c r="J12" i="18"/>
  <c r="H12" i="18"/>
  <c r="G12" i="18"/>
  <c r="X10" i="18"/>
  <c r="W10" i="18"/>
  <c r="U10" i="18"/>
  <c r="T10" i="18"/>
  <c r="R10" i="18"/>
  <c r="Q10" i="18"/>
  <c r="O10" i="18"/>
  <c r="N10" i="18"/>
  <c r="L10" i="18"/>
  <c r="K10" i="18"/>
  <c r="I10" i="18"/>
  <c r="H10" i="18"/>
  <c r="F10" i="18"/>
  <c r="X9" i="18"/>
  <c r="H9" i="18"/>
  <c r="X8" i="18"/>
  <c r="W8" i="18"/>
  <c r="H8" i="18"/>
  <c r="X7" i="18"/>
  <c r="T7" i="18"/>
  <c r="Q7" i="18"/>
  <c r="N7" i="18"/>
  <c r="K7" i="18"/>
  <c r="H7" i="18"/>
  <c r="X6" i="18"/>
  <c r="X5" i="18"/>
  <c r="T5" i="18"/>
  <c r="Q5" i="18"/>
  <c r="N5" i="18"/>
  <c r="K5" i="18"/>
  <c r="H5" i="18"/>
  <c r="X4" i="18"/>
  <c r="V4" i="18"/>
  <c r="T4" i="18"/>
  <c r="S4" i="18"/>
  <c r="Q4" i="18"/>
  <c r="P4" i="18"/>
  <c r="N4" i="18"/>
  <c r="M4" i="18"/>
  <c r="K4" i="18"/>
  <c r="J4" i="18"/>
  <c r="H4" i="18"/>
  <c r="G4" i="18"/>
  <c r="B45" i="17"/>
  <c r="B44" i="17"/>
  <c r="B43" i="17"/>
  <c r="J38" i="17"/>
  <c r="H38" i="17"/>
  <c r="F38" i="17"/>
  <c r="J37" i="17"/>
  <c r="I37" i="17"/>
  <c r="H37" i="17"/>
  <c r="G37" i="17"/>
  <c r="F37" i="17"/>
  <c r="E37" i="17"/>
  <c r="D37" i="17"/>
  <c r="J36" i="17"/>
  <c r="I36" i="17"/>
  <c r="H36" i="17"/>
  <c r="G36" i="17"/>
  <c r="F36" i="17"/>
  <c r="E36" i="17"/>
  <c r="J35" i="17"/>
  <c r="I35" i="17"/>
  <c r="H35" i="17"/>
  <c r="G35" i="17"/>
  <c r="F35" i="17"/>
  <c r="E35" i="17"/>
  <c r="D35" i="17"/>
  <c r="J34" i="17"/>
  <c r="I34" i="17"/>
  <c r="H34" i="17"/>
  <c r="G34" i="17"/>
  <c r="F34" i="17"/>
  <c r="E34" i="17"/>
  <c r="J33" i="17"/>
  <c r="I33" i="17"/>
  <c r="H33" i="17"/>
  <c r="G33" i="17"/>
  <c r="F33" i="17"/>
  <c r="E33" i="17"/>
  <c r="J32" i="17"/>
  <c r="I32" i="17"/>
  <c r="H32" i="17"/>
  <c r="G32" i="17"/>
  <c r="F32" i="17"/>
  <c r="E32" i="17"/>
  <c r="J31" i="17"/>
  <c r="I31" i="17"/>
  <c r="H31" i="17"/>
  <c r="G31" i="17"/>
  <c r="F31" i="17"/>
  <c r="E31" i="17"/>
  <c r="X26" i="17"/>
  <c r="W26" i="17"/>
  <c r="U26" i="17"/>
  <c r="T26" i="17"/>
  <c r="R26" i="17"/>
  <c r="Q26" i="17"/>
  <c r="O26" i="17"/>
  <c r="N26" i="17"/>
  <c r="L26" i="17"/>
  <c r="K26" i="17"/>
  <c r="I26" i="17"/>
  <c r="H26" i="17"/>
  <c r="F26" i="17"/>
  <c r="X25" i="17"/>
  <c r="H25" i="17"/>
  <c r="X24" i="17"/>
  <c r="W24" i="17"/>
  <c r="H24" i="17"/>
  <c r="X23" i="17"/>
  <c r="T23" i="17"/>
  <c r="Q23" i="17"/>
  <c r="N23" i="17"/>
  <c r="K23" i="17"/>
  <c r="H23" i="17"/>
  <c r="X22" i="17"/>
  <c r="X21" i="17"/>
  <c r="T21" i="17"/>
  <c r="Q21" i="17"/>
  <c r="N21" i="17"/>
  <c r="K21" i="17"/>
  <c r="H21" i="17"/>
  <c r="X20" i="17"/>
  <c r="V20" i="17"/>
  <c r="T20" i="17"/>
  <c r="S20" i="17"/>
  <c r="Q20" i="17"/>
  <c r="P20" i="17"/>
  <c r="N20" i="17"/>
  <c r="M20" i="17"/>
  <c r="K20" i="17"/>
  <c r="J20" i="17"/>
  <c r="H20" i="17"/>
  <c r="G20" i="17"/>
  <c r="X18" i="17"/>
  <c r="W18" i="17"/>
  <c r="U18" i="17"/>
  <c r="T18" i="17"/>
  <c r="R18" i="17"/>
  <c r="Q18" i="17"/>
  <c r="O18" i="17"/>
  <c r="N18" i="17"/>
  <c r="L18" i="17"/>
  <c r="K18" i="17"/>
  <c r="I18" i="17"/>
  <c r="H18" i="17"/>
  <c r="F18" i="17"/>
  <c r="X17" i="17"/>
  <c r="H17" i="17"/>
  <c r="X16" i="17"/>
  <c r="W16" i="17"/>
  <c r="H16" i="17"/>
  <c r="X15" i="17"/>
  <c r="T15" i="17"/>
  <c r="Q15" i="17"/>
  <c r="N15" i="17"/>
  <c r="K15" i="17"/>
  <c r="H15" i="17"/>
  <c r="X14" i="17"/>
  <c r="X13" i="17"/>
  <c r="T13" i="17"/>
  <c r="Q13" i="17"/>
  <c r="N13" i="17"/>
  <c r="K13" i="17"/>
  <c r="H13" i="17"/>
  <c r="X12" i="17"/>
  <c r="V12" i="17"/>
  <c r="T12" i="17"/>
  <c r="S12" i="17"/>
  <c r="Q12" i="17"/>
  <c r="P12" i="17"/>
  <c r="N12" i="17"/>
  <c r="M12" i="17"/>
  <c r="K12" i="17"/>
  <c r="J12" i="17"/>
  <c r="H12" i="17"/>
  <c r="G12" i="17"/>
  <c r="X10" i="17"/>
  <c r="W10" i="17"/>
  <c r="U10" i="17"/>
  <c r="T10" i="17"/>
  <c r="R10" i="17"/>
  <c r="Q10" i="17"/>
  <c r="O10" i="17"/>
  <c r="N10" i="17"/>
  <c r="L10" i="17"/>
  <c r="K10" i="17"/>
  <c r="I10" i="17"/>
  <c r="H10" i="17"/>
  <c r="F10" i="17"/>
  <c r="X9" i="17"/>
  <c r="H9" i="17"/>
  <c r="X8" i="17"/>
  <c r="W8" i="17"/>
  <c r="H8" i="17"/>
  <c r="X7" i="17"/>
  <c r="T7" i="17"/>
  <c r="Q7" i="17"/>
  <c r="N7" i="17"/>
  <c r="K7" i="17"/>
  <c r="H7" i="17"/>
  <c r="X6" i="17"/>
  <c r="X5" i="17"/>
  <c r="T5" i="17"/>
  <c r="Q5" i="17"/>
  <c r="N5" i="17"/>
  <c r="K5" i="17"/>
  <c r="H5" i="17"/>
  <c r="X4" i="17"/>
  <c r="V4" i="17"/>
  <c r="T4" i="17"/>
  <c r="S4" i="17"/>
  <c r="Q4" i="17"/>
  <c r="P4" i="17"/>
  <c r="N4" i="17"/>
  <c r="M4" i="17"/>
  <c r="K4" i="17"/>
  <c r="J4" i="17"/>
  <c r="H4" i="17"/>
  <c r="G4" i="17"/>
  <c r="B45" i="16"/>
  <c r="B44" i="16"/>
  <c r="B43" i="16"/>
  <c r="J38" i="16"/>
  <c r="H38" i="16"/>
  <c r="F38" i="16"/>
  <c r="J37" i="16"/>
  <c r="I37" i="16"/>
  <c r="H37" i="16"/>
  <c r="G37" i="16"/>
  <c r="F37" i="16"/>
  <c r="E37" i="16"/>
  <c r="D37" i="16"/>
  <c r="J36" i="16"/>
  <c r="I36" i="16"/>
  <c r="H36" i="16"/>
  <c r="G36" i="16"/>
  <c r="F36" i="16"/>
  <c r="E36" i="16"/>
  <c r="J35" i="16"/>
  <c r="I35" i="16"/>
  <c r="H35" i="16"/>
  <c r="G35" i="16"/>
  <c r="F35" i="16"/>
  <c r="E35" i="16"/>
  <c r="D35" i="16"/>
  <c r="J34" i="16"/>
  <c r="I34" i="16"/>
  <c r="H34" i="16"/>
  <c r="G34" i="16"/>
  <c r="F34" i="16"/>
  <c r="E34" i="16"/>
  <c r="J33" i="16"/>
  <c r="I33" i="16"/>
  <c r="H33" i="16"/>
  <c r="G33" i="16"/>
  <c r="F33" i="16"/>
  <c r="E33" i="16"/>
  <c r="J32" i="16"/>
  <c r="I32" i="16"/>
  <c r="H32" i="16"/>
  <c r="G32" i="16"/>
  <c r="F32" i="16"/>
  <c r="E32" i="16"/>
  <c r="J31" i="16"/>
  <c r="I31" i="16"/>
  <c r="H31" i="16"/>
  <c r="G31" i="16"/>
  <c r="F31" i="16"/>
  <c r="E31" i="16"/>
  <c r="X26" i="16"/>
  <c r="W26" i="16"/>
  <c r="U26" i="16"/>
  <c r="T26" i="16"/>
  <c r="R26" i="16"/>
  <c r="Q26" i="16"/>
  <c r="O26" i="16"/>
  <c r="N26" i="16"/>
  <c r="L26" i="16"/>
  <c r="K26" i="16"/>
  <c r="I26" i="16"/>
  <c r="H26" i="16"/>
  <c r="F26" i="16"/>
  <c r="X25" i="16"/>
  <c r="H25" i="16"/>
  <c r="X24" i="16"/>
  <c r="W24" i="16"/>
  <c r="H24" i="16"/>
  <c r="X23" i="16"/>
  <c r="T23" i="16"/>
  <c r="Q23" i="16"/>
  <c r="N23" i="16"/>
  <c r="K23" i="16"/>
  <c r="H23" i="16"/>
  <c r="X22" i="16"/>
  <c r="X21" i="16"/>
  <c r="T21" i="16"/>
  <c r="Q21" i="16"/>
  <c r="N21" i="16"/>
  <c r="K21" i="16"/>
  <c r="H21" i="16"/>
  <c r="X20" i="16"/>
  <c r="V20" i="16"/>
  <c r="T20" i="16"/>
  <c r="S20" i="16"/>
  <c r="Q20" i="16"/>
  <c r="P20" i="16"/>
  <c r="N20" i="16"/>
  <c r="M20" i="16"/>
  <c r="K20" i="16"/>
  <c r="J20" i="16"/>
  <c r="H20" i="16"/>
  <c r="G20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X17" i="16"/>
  <c r="H17" i="16"/>
  <c r="X16" i="16"/>
  <c r="W16" i="16"/>
  <c r="H16" i="16"/>
  <c r="X15" i="16"/>
  <c r="T15" i="16"/>
  <c r="Q15" i="16"/>
  <c r="N15" i="16"/>
  <c r="K15" i="16"/>
  <c r="H15" i="16"/>
  <c r="X14" i="16"/>
  <c r="X13" i="16"/>
  <c r="T13" i="16"/>
  <c r="Q13" i="16"/>
  <c r="N13" i="16"/>
  <c r="K13" i="16"/>
  <c r="H13" i="16"/>
  <c r="X12" i="16"/>
  <c r="V12" i="16"/>
  <c r="T12" i="16"/>
  <c r="S12" i="16"/>
  <c r="Q12" i="16"/>
  <c r="P12" i="16"/>
  <c r="N12" i="16"/>
  <c r="M12" i="16"/>
  <c r="K12" i="16"/>
  <c r="J12" i="16"/>
  <c r="H12" i="16"/>
  <c r="G12" i="16"/>
  <c r="X10" i="16"/>
  <c r="W10" i="16"/>
  <c r="U10" i="16"/>
  <c r="T10" i="16"/>
  <c r="R10" i="16"/>
  <c r="Q10" i="16"/>
  <c r="O10" i="16"/>
  <c r="N10" i="16"/>
  <c r="L10" i="16"/>
  <c r="K10" i="16"/>
  <c r="I10" i="16"/>
  <c r="H10" i="16"/>
  <c r="F10" i="16"/>
  <c r="X9" i="16"/>
  <c r="H9" i="16"/>
  <c r="X8" i="16"/>
  <c r="W8" i="16"/>
  <c r="H8" i="16"/>
  <c r="X7" i="16"/>
  <c r="T7" i="16"/>
  <c r="Q7" i="16"/>
  <c r="N7" i="16"/>
  <c r="K7" i="16"/>
  <c r="H7" i="16"/>
  <c r="X6" i="16"/>
  <c r="X5" i="16"/>
  <c r="T5" i="16"/>
  <c r="Q5" i="16"/>
  <c r="N5" i="16"/>
  <c r="K5" i="16"/>
  <c r="H5" i="16"/>
  <c r="X4" i="16"/>
  <c r="V4" i="16"/>
  <c r="T4" i="16"/>
  <c r="S4" i="16"/>
  <c r="Q4" i="16"/>
  <c r="P4" i="16"/>
  <c r="N4" i="16"/>
  <c r="M4" i="16"/>
  <c r="K4" i="16"/>
  <c r="J4" i="16"/>
  <c r="H4" i="16"/>
  <c r="G4" i="16"/>
  <c r="B45" i="15"/>
  <c r="B44" i="15"/>
  <c r="B43" i="15"/>
  <c r="J38" i="15"/>
  <c r="H38" i="15"/>
  <c r="F38" i="15"/>
  <c r="J37" i="15"/>
  <c r="I37" i="15"/>
  <c r="H37" i="15"/>
  <c r="G37" i="15"/>
  <c r="F37" i="15"/>
  <c r="E37" i="15"/>
  <c r="D37" i="15"/>
  <c r="J36" i="15"/>
  <c r="I36" i="15"/>
  <c r="H36" i="15"/>
  <c r="G36" i="15"/>
  <c r="F36" i="15"/>
  <c r="E36" i="15"/>
  <c r="J35" i="15"/>
  <c r="I35" i="15"/>
  <c r="H35" i="15"/>
  <c r="G35" i="15"/>
  <c r="F35" i="15"/>
  <c r="E35" i="15"/>
  <c r="D35" i="15"/>
  <c r="J34" i="15"/>
  <c r="I34" i="15"/>
  <c r="H34" i="15"/>
  <c r="G34" i="15"/>
  <c r="F34" i="15"/>
  <c r="E34" i="15"/>
  <c r="J33" i="15"/>
  <c r="I33" i="15"/>
  <c r="H33" i="15"/>
  <c r="G33" i="15"/>
  <c r="F33" i="15"/>
  <c r="E33" i="15"/>
  <c r="J32" i="15"/>
  <c r="I32" i="15"/>
  <c r="H32" i="15"/>
  <c r="G32" i="15"/>
  <c r="F32" i="15"/>
  <c r="E32" i="15"/>
  <c r="J31" i="15"/>
  <c r="I31" i="15"/>
  <c r="H31" i="15"/>
  <c r="G31" i="15"/>
  <c r="F31" i="15"/>
  <c r="E31" i="15"/>
  <c r="X26" i="15"/>
  <c r="W26" i="15"/>
  <c r="U26" i="15"/>
  <c r="T26" i="15"/>
  <c r="R26" i="15"/>
  <c r="Q26" i="15"/>
  <c r="O26" i="15"/>
  <c r="N26" i="15"/>
  <c r="L26" i="15"/>
  <c r="K26" i="15"/>
  <c r="I26" i="15"/>
  <c r="H26" i="15"/>
  <c r="F26" i="15"/>
  <c r="X25" i="15"/>
  <c r="H25" i="15"/>
  <c r="X24" i="15"/>
  <c r="W24" i="15"/>
  <c r="H24" i="15"/>
  <c r="X23" i="15"/>
  <c r="T23" i="15"/>
  <c r="Q23" i="15"/>
  <c r="N23" i="15"/>
  <c r="K23" i="15"/>
  <c r="H23" i="15"/>
  <c r="X22" i="15"/>
  <c r="X21" i="15"/>
  <c r="T21" i="15"/>
  <c r="Q21" i="15"/>
  <c r="N21" i="15"/>
  <c r="K21" i="15"/>
  <c r="H21" i="15"/>
  <c r="X20" i="15"/>
  <c r="V20" i="15"/>
  <c r="T20" i="15"/>
  <c r="S20" i="15"/>
  <c r="Q20" i="15"/>
  <c r="P20" i="15"/>
  <c r="N20" i="15"/>
  <c r="M20" i="15"/>
  <c r="K20" i="15"/>
  <c r="J20" i="15"/>
  <c r="H20" i="15"/>
  <c r="G20" i="15"/>
  <c r="X18" i="15"/>
  <c r="W18" i="15"/>
  <c r="U18" i="15"/>
  <c r="T18" i="15"/>
  <c r="R18" i="15"/>
  <c r="Q18" i="15"/>
  <c r="O18" i="15"/>
  <c r="N18" i="15"/>
  <c r="L18" i="15"/>
  <c r="K18" i="15"/>
  <c r="I18" i="15"/>
  <c r="H18" i="15"/>
  <c r="F18" i="15"/>
  <c r="X17" i="15"/>
  <c r="H17" i="15"/>
  <c r="X16" i="15"/>
  <c r="W16" i="15"/>
  <c r="H16" i="15"/>
  <c r="X15" i="15"/>
  <c r="T15" i="15"/>
  <c r="Q15" i="15"/>
  <c r="N15" i="15"/>
  <c r="K15" i="15"/>
  <c r="H15" i="15"/>
  <c r="X14" i="15"/>
  <c r="X13" i="15"/>
  <c r="T13" i="15"/>
  <c r="Q13" i="15"/>
  <c r="N13" i="15"/>
  <c r="K13" i="15"/>
  <c r="H13" i="15"/>
  <c r="X12" i="15"/>
  <c r="V12" i="15"/>
  <c r="T12" i="15"/>
  <c r="S12" i="15"/>
  <c r="Q12" i="15"/>
  <c r="P12" i="15"/>
  <c r="N12" i="15"/>
  <c r="M12" i="15"/>
  <c r="K12" i="15"/>
  <c r="J12" i="15"/>
  <c r="H12" i="15"/>
  <c r="G12" i="15"/>
  <c r="X10" i="15"/>
  <c r="W10" i="15"/>
  <c r="U10" i="15"/>
  <c r="T10" i="15"/>
  <c r="R10" i="15"/>
  <c r="Q10" i="15"/>
  <c r="O10" i="15"/>
  <c r="N10" i="15"/>
  <c r="L10" i="15"/>
  <c r="K10" i="15"/>
  <c r="I10" i="15"/>
  <c r="H10" i="15"/>
  <c r="F10" i="15"/>
  <c r="X9" i="15"/>
  <c r="H9" i="15"/>
  <c r="X8" i="15"/>
  <c r="W8" i="15"/>
  <c r="H8" i="15"/>
  <c r="X7" i="15"/>
  <c r="T7" i="15"/>
  <c r="Q7" i="15"/>
  <c r="N7" i="15"/>
  <c r="K7" i="15"/>
  <c r="H7" i="15"/>
  <c r="X6" i="15"/>
  <c r="X5" i="15"/>
  <c r="T5" i="15"/>
  <c r="Q5" i="15"/>
  <c r="N5" i="15"/>
  <c r="K5" i="15"/>
  <c r="H5" i="15"/>
  <c r="X4" i="15"/>
  <c r="V4" i="15"/>
  <c r="T4" i="15"/>
  <c r="S4" i="15"/>
  <c r="Q4" i="15"/>
  <c r="P4" i="15"/>
  <c r="N4" i="15"/>
  <c r="M4" i="15"/>
  <c r="K4" i="15"/>
  <c r="J4" i="15"/>
  <c r="H4" i="15"/>
  <c r="G4" i="15"/>
  <c r="B45" i="14"/>
  <c r="B44" i="14"/>
  <c r="B43" i="14"/>
  <c r="J38" i="14"/>
  <c r="H38" i="14"/>
  <c r="F38" i="14"/>
  <c r="J37" i="14"/>
  <c r="I37" i="14"/>
  <c r="H37" i="14"/>
  <c r="G37" i="14"/>
  <c r="F37" i="14"/>
  <c r="E37" i="14"/>
  <c r="D37" i="14"/>
  <c r="J36" i="14"/>
  <c r="I36" i="14"/>
  <c r="H36" i="14"/>
  <c r="G36" i="14"/>
  <c r="F36" i="14"/>
  <c r="E36" i="14"/>
  <c r="J35" i="14"/>
  <c r="I35" i="14"/>
  <c r="H35" i="14"/>
  <c r="G35" i="14"/>
  <c r="F35" i="14"/>
  <c r="E35" i="14"/>
  <c r="D35" i="14"/>
  <c r="J34" i="14"/>
  <c r="I34" i="14"/>
  <c r="H34" i="14"/>
  <c r="G34" i="14"/>
  <c r="F34" i="14"/>
  <c r="E34" i="14"/>
  <c r="J33" i="14"/>
  <c r="I33" i="14"/>
  <c r="H33" i="14"/>
  <c r="G33" i="14"/>
  <c r="F33" i="14"/>
  <c r="E33" i="14"/>
  <c r="J32" i="14"/>
  <c r="I32" i="14"/>
  <c r="H32" i="14"/>
  <c r="G32" i="14"/>
  <c r="F32" i="14"/>
  <c r="E32" i="14"/>
  <c r="J31" i="14"/>
  <c r="I31" i="14"/>
  <c r="H31" i="14"/>
  <c r="G31" i="14"/>
  <c r="F31" i="14"/>
  <c r="E31" i="14"/>
  <c r="X26" i="14"/>
  <c r="W26" i="14"/>
  <c r="U26" i="14"/>
  <c r="T26" i="14"/>
  <c r="R26" i="14"/>
  <c r="Q26" i="14"/>
  <c r="O26" i="14"/>
  <c r="N26" i="14"/>
  <c r="L26" i="14"/>
  <c r="K26" i="14"/>
  <c r="I26" i="14"/>
  <c r="H26" i="14"/>
  <c r="F26" i="14"/>
  <c r="X25" i="14"/>
  <c r="H25" i="14"/>
  <c r="X24" i="14"/>
  <c r="W24" i="14"/>
  <c r="H24" i="14"/>
  <c r="X23" i="14"/>
  <c r="T23" i="14"/>
  <c r="Q23" i="14"/>
  <c r="N23" i="14"/>
  <c r="K23" i="14"/>
  <c r="H23" i="14"/>
  <c r="X22" i="14"/>
  <c r="X21" i="14"/>
  <c r="T21" i="14"/>
  <c r="Q21" i="14"/>
  <c r="N21" i="14"/>
  <c r="K21" i="14"/>
  <c r="H21" i="14"/>
  <c r="X20" i="14"/>
  <c r="V20" i="14"/>
  <c r="T20" i="14"/>
  <c r="S20" i="14"/>
  <c r="Q20" i="14"/>
  <c r="P20" i="14"/>
  <c r="N20" i="14"/>
  <c r="M20" i="14"/>
  <c r="K20" i="14"/>
  <c r="J20" i="14"/>
  <c r="H20" i="14"/>
  <c r="G20" i="14"/>
  <c r="X18" i="14"/>
  <c r="W18" i="14"/>
  <c r="U18" i="14"/>
  <c r="T18" i="14"/>
  <c r="R18" i="14"/>
  <c r="Q18" i="14"/>
  <c r="O18" i="14"/>
  <c r="N18" i="14"/>
  <c r="L18" i="14"/>
  <c r="K18" i="14"/>
  <c r="I18" i="14"/>
  <c r="H18" i="14"/>
  <c r="F18" i="14"/>
  <c r="X17" i="14"/>
  <c r="H17" i="14"/>
  <c r="X16" i="14"/>
  <c r="W16" i="14"/>
  <c r="H16" i="14"/>
  <c r="X15" i="14"/>
  <c r="T15" i="14"/>
  <c r="Q15" i="14"/>
  <c r="N15" i="14"/>
  <c r="K15" i="14"/>
  <c r="H15" i="14"/>
  <c r="X14" i="14"/>
  <c r="X13" i="14"/>
  <c r="T13" i="14"/>
  <c r="Q13" i="14"/>
  <c r="N13" i="14"/>
  <c r="K13" i="14"/>
  <c r="H13" i="14"/>
  <c r="X12" i="14"/>
  <c r="V12" i="14"/>
  <c r="T12" i="14"/>
  <c r="S12" i="14"/>
  <c r="Q12" i="14"/>
  <c r="P12" i="14"/>
  <c r="N12" i="14"/>
  <c r="M12" i="14"/>
  <c r="K12" i="14"/>
  <c r="J12" i="14"/>
  <c r="H12" i="14"/>
  <c r="G12" i="14"/>
  <c r="X10" i="14"/>
  <c r="W10" i="14"/>
  <c r="U10" i="14"/>
  <c r="T10" i="14"/>
  <c r="R10" i="14"/>
  <c r="Q10" i="14"/>
  <c r="O10" i="14"/>
  <c r="N10" i="14"/>
  <c r="L10" i="14"/>
  <c r="K10" i="14"/>
  <c r="I10" i="14"/>
  <c r="H10" i="14"/>
  <c r="F10" i="14"/>
  <c r="X9" i="14"/>
  <c r="H9" i="14"/>
  <c r="X8" i="14"/>
  <c r="W8" i="14"/>
  <c r="H8" i="14"/>
  <c r="X7" i="14"/>
  <c r="T7" i="14"/>
  <c r="Q7" i="14"/>
  <c r="N7" i="14"/>
  <c r="K7" i="14"/>
  <c r="H7" i="14"/>
  <c r="X6" i="14"/>
  <c r="X5" i="14"/>
  <c r="T5" i="14"/>
  <c r="Q5" i="14"/>
  <c r="N5" i="14"/>
  <c r="K5" i="14"/>
  <c r="H5" i="14"/>
  <c r="X4" i="14"/>
  <c r="V4" i="14"/>
  <c r="T4" i="14"/>
  <c r="S4" i="14"/>
  <c r="Q4" i="14"/>
  <c r="P4" i="14"/>
  <c r="N4" i="14"/>
  <c r="M4" i="14"/>
  <c r="K4" i="14"/>
  <c r="J4" i="14"/>
  <c r="H4" i="14"/>
  <c r="G4" i="14"/>
  <c r="B45" i="13"/>
  <c r="B44" i="13"/>
  <c r="B43" i="13"/>
  <c r="J38" i="13"/>
  <c r="H38" i="13"/>
  <c r="F38" i="13"/>
  <c r="J37" i="13"/>
  <c r="I37" i="13"/>
  <c r="H37" i="13"/>
  <c r="G37" i="13"/>
  <c r="F37" i="13"/>
  <c r="E37" i="13"/>
  <c r="D37" i="13"/>
  <c r="J36" i="13"/>
  <c r="I36" i="13"/>
  <c r="H36" i="13"/>
  <c r="G36" i="13"/>
  <c r="F36" i="13"/>
  <c r="E36" i="13"/>
  <c r="J35" i="13"/>
  <c r="I35" i="13"/>
  <c r="H35" i="13"/>
  <c r="G35" i="13"/>
  <c r="F35" i="13"/>
  <c r="E35" i="13"/>
  <c r="D35" i="13"/>
  <c r="J34" i="13"/>
  <c r="I34" i="13"/>
  <c r="H34" i="13"/>
  <c r="G34" i="13"/>
  <c r="F34" i="13"/>
  <c r="E34" i="13"/>
  <c r="J33" i="13"/>
  <c r="I33" i="13"/>
  <c r="H33" i="13"/>
  <c r="G33" i="13"/>
  <c r="F33" i="13"/>
  <c r="E33" i="13"/>
  <c r="J32" i="13"/>
  <c r="I32" i="13"/>
  <c r="H32" i="13"/>
  <c r="G32" i="13"/>
  <c r="F32" i="13"/>
  <c r="E32" i="13"/>
  <c r="J31" i="13"/>
  <c r="I31" i="13"/>
  <c r="H31" i="13"/>
  <c r="G31" i="13"/>
  <c r="F31" i="13"/>
  <c r="E31" i="13"/>
  <c r="X26" i="13"/>
  <c r="W26" i="13"/>
  <c r="U26" i="13"/>
  <c r="T26" i="13"/>
  <c r="R26" i="13"/>
  <c r="Q26" i="13"/>
  <c r="O26" i="13"/>
  <c r="N26" i="13"/>
  <c r="L26" i="13"/>
  <c r="K26" i="13"/>
  <c r="I26" i="13"/>
  <c r="H26" i="13"/>
  <c r="F26" i="13"/>
  <c r="X25" i="13"/>
  <c r="H25" i="13"/>
  <c r="X24" i="13"/>
  <c r="W24" i="13"/>
  <c r="H24" i="13"/>
  <c r="X23" i="13"/>
  <c r="T23" i="13"/>
  <c r="Q23" i="13"/>
  <c r="N23" i="13"/>
  <c r="K23" i="13"/>
  <c r="H23" i="13"/>
  <c r="X22" i="13"/>
  <c r="X21" i="13"/>
  <c r="T21" i="13"/>
  <c r="Q21" i="13"/>
  <c r="N21" i="13"/>
  <c r="K21" i="13"/>
  <c r="H21" i="13"/>
  <c r="X20" i="13"/>
  <c r="V20" i="13"/>
  <c r="T20" i="13"/>
  <c r="S20" i="13"/>
  <c r="Q20" i="13"/>
  <c r="P20" i="13"/>
  <c r="N20" i="13"/>
  <c r="M20" i="13"/>
  <c r="K20" i="13"/>
  <c r="J20" i="13"/>
  <c r="H20" i="13"/>
  <c r="G20" i="13"/>
  <c r="X18" i="13"/>
  <c r="W18" i="13"/>
  <c r="U18" i="13"/>
  <c r="T18" i="13"/>
  <c r="R18" i="13"/>
  <c r="Q18" i="13"/>
  <c r="O18" i="13"/>
  <c r="N18" i="13"/>
  <c r="L18" i="13"/>
  <c r="K18" i="13"/>
  <c r="I18" i="13"/>
  <c r="H18" i="13"/>
  <c r="F18" i="13"/>
  <c r="X17" i="13"/>
  <c r="H17" i="13"/>
  <c r="X16" i="13"/>
  <c r="W16" i="13"/>
  <c r="H16" i="13"/>
  <c r="X15" i="13"/>
  <c r="T15" i="13"/>
  <c r="Q15" i="13"/>
  <c r="N15" i="13"/>
  <c r="K15" i="13"/>
  <c r="H15" i="13"/>
  <c r="X14" i="13"/>
  <c r="X13" i="13"/>
  <c r="T13" i="13"/>
  <c r="Q13" i="13"/>
  <c r="N13" i="13"/>
  <c r="K13" i="13"/>
  <c r="H13" i="13"/>
  <c r="X12" i="13"/>
  <c r="V12" i="13"/>
  <c r="T12" i="13"/>
  <c r="S12" i="13"/>
  <c r="Q12" i="13"/>
  <c r="P12" i="13"/>
  <c r="N12" i="13"/>
  <c r="M12" i="13"/>
  <c r="K12" i="13"/>
  <c r="J12" i="13"/>
  <c r="H12" i="13"/>
  <c r="G12" i="13"/>
  <c r="X10" i="13"/>
  <c r="W10" i="13"/>
  <c r="U10" i="13"/>
  <c r="T10" i="13"/>
  <c r="R10" i="13"/>
  <c r="Q10" i="13"/>
  <c r="O10" i="13"/>
  <c r="N10" i="13"/>
  <c r="L10" i="13"/>
  <c r="K10" i="13"/>
  <c r="I10" i="13"/>
  <c r="H10" i="13"/>
  <c r="F10" i="13"/>
  <c r="X9" i="13"/>
  <c r="H9" i="13"/>
  <c r="X8" i="13"/>
  <c r="W8" i="13"/>
  <c r="H8" i="13"/>
  <c r="X7" i="13"/>
  <c r="T7" i="13"/>
  <c r="Q7" i="13"/>
  <c r="N7" i="13"/>
  <c r="K7" i="13"/>
  <c r="H7" i="13"/>
  <c r="X6" i="13"/>
  <c r="X5" i="13"/>
  <c r="T5" i="13"/>
  <c r="Q5" i="13"/>
  <c r="N5" i="13"/>
  <c r="K5" i="13"/>
  <c r="H5" i="13"/>
  <c r="X4" i="13"/>
  <c r="V4" i="13"/>
  <c r="T4" i="13"/>
  <c r="S4" i="13"/>
  <c r="Q4" i="13"/>
  <c r="P4" i="13"/>
  <c r="N4" i="13"/>
  <c r="M4" i="13"/>
  <c r="K4" i="13"/>
  <c r="J4" i="13"/>
  <c r="H4" i="13"/>
  <c r="G4" i="13"/>
  <c r="B45" i="12"/>
  <c r="B44" i="12"/>
  <c r="B43" i="12"/>
  <c r="J38" i="12"/>
  <c r="H38" i="12"/>
  <c r="F38" i="12"/>
  <c r="J37" i="12"/>
  <c r="I37" i="12"/>
  <c r="H37" i="12"/>
  <c r="G37" i="12"/>
  <c r="F37" i="12"/>
  <c r="E37" i="12"/>
  <c r="D37" i="12"/>
  <c r="J36" i="12"/>
  <c r="I36" i="12"/>
  <c r="H36" i="12"/>
  <c r="G36" i="12"/>
  <c r="F36" i="12"/>
  <c r="E36" i="12"/>
  <c r="J35" i="12"/>
  <c r="I35" i="12"/>
  <c r="H35" i="12"/>
  <c r="G35" i="12"/>
  <c r="F35" i="12"/>
  <c r="E35" i="12"/>
  <c r="D35" i="12"/>
  <c r="J34" i="12"/>
  <c r="I34" i="12"/>
  <c r="H34" i="12"/>
  <c r="G34" i="12"/>
  <c r="F34" i="12"/>
  <c r="E34" i="12"/>
  <c r="J33" i="12"/>
  <c r="I33" i="12"/>
  <c r="H33" i="12"/>
  <c r="G33" i="12"/>
  <c r="F33" i="12"/>
  <c r="E33" i="12"/>
  <c r="J32" i="12"/>
  <c r="I32" i="12"/>
  <c r="H32" i="12"/>
  <c r="G32" i="12"/>
  <c r="F32" i="12"/>
  <c r="E32" i="12"/>
  <c r="J31" i="12"/>
  <c r="I31" i="12"/>
  <c r="H31" i="12"/>
  <c r="G31" i="12"/>
  <c r="F31" i="12"/>
  <c r="E31" i="12"/>
  <c r="X26" i="12"/>
  <c r="W26" i="12"/>
  <c r="U26" i="12"/>
  <c r="T26" i="12"/>
  <c r="R26" i="12"/>
  <c r="Q26" i="12"/>
  <c r="O26" i="12"/>
  <c r="N26" i="12"/>
  <c r="L26" i="12"/>
  <c r="K26" i="12"/>
  <c r="I26" i="12"/>
  <c r="H26" i="12"/>
  <c r="F26" i="12"/>
  <c r="X25" i="12"/>
  <c r="H25" i="12"/>
  <c r="X24" i="12"/>
  <c r="W24" i="12"/>
  <c r="H24" i="12"/>
  <c r="X23" i="12"/>
  <c r="T23" i="12"/>
  <c r="Q23" i="12"/>
  <c r="N23" i="12"/>
  <c r="K23" i="12"/>
  <c r="H23" i="12"/>
  <c r="X22" i="12"/>
  <c r="X21" i="12"/>
  <c r="T21" i="12"/>
  <c r="Q21" i="12"/>
  <c r="N21" i="12"/>
  <c r="K21" i="12"/>
  <c r="H21" i="12"/>
  <c r="X20" i="12"/>
  <c r="V20" i="12"/>
  <c r="T20" i="12"/>
  <c r="S20" i="12"/>
  <c r="Q20" i="12"/>
  <c r="P20" i="12"/>
  <c r="N20" i="12"/>
  <c r="M20" i="12"/>
  <c r="K20" i="12"/>
  <c r="J20" i="12"/>
  <c r="H20" i="12"/>
  <c r="G20" i="12"/>
  <c r="X18" i="12"/>
  <c r="W18" i="12"/>
  <c r="U18" i="12"/>
  <c r="T18" i="12"/>
  <c r="R18" i="12"/>
  <c r="Q18" i="12"/>
  <c r="O18" i="12"/>
  <c r="N18" i="12"/>
  <c r="L18" i="12"/>
  <c r="K18" i="12"/>
  <c r="I18" i="12"/>
  <c r="H18" i="12"/>
  <c r="F18" i="12"/>
  <c r="X17" i="12"/>
  <c r="H17" i="12"/>
  <c r="X16" i="12"/>
  <c r="W16" i="12"/>
  <c r="H16" i="12"/>
  <c r="X15" i="12"/>
  <c r="T15" i="12"/>
  <c r="Q15" i="12"/>
  <c r="N15" i="12"/>
  <c r="K15" i="12"/>
  <c r="H15" i="12"/>
  <c r="X14" i="12"/>
  <c r="X13" i="12"/>
  <c r="T13" i="12"/>
  <c r="Q13" i="12"/>
  <c r="N13" i="12"/>
  <c r="K13" i="12"/>
  <c r="H13" i="12"/>
  <c r="X12" i="12"/>
  <c r="V12" i="12"/>
  <c r="T12" i="12"/>
  <c r="S12" i="12"/>
  <c r="Q12" i="12"/>
  <c r="P12" i="12"/>
  <c r="N12" i="12"/>
  <c r="M12" i="12"/>
  <c r="K12" i="12"/>
  <c r="J12" i="12"/>
  <c r="H12" i="12"/>
  <c r="G12" i="12"/>
  <c r="X10" i="12"/>
  <c r="W10" i="12"/>
  <c r="U10" i="12"/>
  <c r="T10" i="12"/>
  <c r="R10" i="12"/>
  <c r="Q10" i="12"/>
  <c r="O10" i="12"/>
  <c r="N10" i="12"/>
  <c r="L10" i="12"/>
  <c r="K10" i="12"/>
  <c r="I10" i="12"/>
  <c r="H10" i="12"/>
  <c r="F10" i="12"/>
  <c r="X9" i="12"/>
  <c r="H9" i="12"/>
  <c r="X8" i="12"/>
  <c r="W8" i="12"/>
  <c r="H8" i="12"/>
  <c r="X7" i="12"/>
  <c r="T7" i="12"/>
  <c r="Q7" i="12"/>
  <c r="N7" i="12"/>
  <c r="K7" i="12"/>
  <c r="H7" i="12"/>
  <c r="X6" i="12"/>
  <c r="X5" i="12"/>
  <c r="T5" i="12"/>
  <c r="Q5" i="12"/>
  <c r="N5" i="12"/>
  <c r="K5" i="12"/>
  <c r="H5" i="12"/>
  <c r="X4" i="12"/>
  <c r="V4" i="12"/>
  <c r="T4" i="12"/>
  <c r="S4" i="12"/>
  <c r="Q4" i="12"/>
  <c r="P4" i="12"/>
  <c r="N4" i="12"/>
  <c r="M4" i="12"/>
  <c r="K4" i="12"/>
  <c r="J4" i="12"/>
  <c r="H4" i="12"/>
  <c r="G4" i="12"/>
  <c r="B45" i="11"/>
  <c r="B44" i="11"/>
  <c r="B43" i="11"/>
  <c r="J38" i="11"/>
  <c r="H38" i="11"/>
  <c r="F38" i="11"/>
  <c r="J37" i="11"/>
  <c r="I37" i="11"/>
  <c r="H37" i="11"/>
  <c r="G37" i="11"/>
  <c r="F37" i="11"/>
  <c r="E37" i="11"/>
  <c r="D37" i="11"/>
  <c r="J36" i="11"/>
  <c r="I36" i="11"/>
  <c r="H36" i="11"/>
  <c r="G36" i="11"/>
  <c r="F36" i="11"/>
  <c r="E36" i="11"/>
  <c r="J35" i="11"/>
  <c r="I35" i="11"/>
  <c r="H35" i="11"/>
  <c r="G35" i="11"/>
  <c r="F35" i="11"/>
  <c r="E35" i="11"/>
  <c r="D35" i="11"/>
  <c r="J34" i="11"/>
  <c r="I34" i="11"/>
  <c r="H34" i="11"/>
  <c r="G34" i="11"/>
  <c r="F34" i="11"/>
  <c r="E34" i="11"/>
  <c r="J33" i="11"/>
  <c r="I33" i="11"/>
  <c r="H33" i="11"/>
  <c r="G33" i="11"/>
  <c r="F33" i="11"/>
  <c r="E33" i="11"/>
  <c r="J32" i="11"/>
  <c r="I32" i="11"/>
  <c r="H32" i="11"/>
  <c r="G32" i="11"/>
  <c r="F32" i="11"/>
  <c r="E32" i="11"/>
  <c r="J31" i="11"/>
  <c r="I31" i="11"/>
  <c r="H31" i="11"/>
  <c r="G31" i="11"/>
  <c r="F31" i="11"/>
  <c r="E31" i="11"/>
  <c r="X26" i="11"/>
  <c r="W26" i="11"/>
  <c r="U26" i="11"/>
  <c r="T26" i="11"/>
  <c r="R26" i="11"/>
  <c r="Q26" i="11"/>
  <c r="O26" i="11"/>
  <c r="N26" i="11"/>
  <c r="L26" i="11"/>
  <c r="K26" i="11"/>
  <c r="I26" i="11"/>
  <c r="H26" i="11"/>
  <c r="F26" i="11"/>
  <c r="X25" i="11"/>
  <c r="H25" i="11"/>
  <c r="X24" i="11"/>
  <c r="W24" i="11"/>
  <c r="H24" i="11"/>
  <c r="X23" i="11"/>
  <c r="T23" i="11"/>
  <c r="Q23" i="11"/>
  <c r="N23" i="11"/>
  <c r="K23" i="11"/>
  <c r="H23" i="11"/>
  <c r="X22" i="11"/>
  <c r="X21" i="11"/>
  <c r="T21" i="11"/>
  <c r="Q21" i="11"/>
  <c r="N21" i="11"/>
  <c r="K21" i="11"/>
  <c r="H21" i="11"/>
  <c r="X20" i="11"/>
  <c r="V20" i="11"/>
  <c r="T20" i="11"/>
  <c r="S20" i="11"/>
  <c r="Q20" i="11"/>
  <c r="P20" i="11"/>
  <c r="N20" i="11"/>
  <c r="M20" i="11"/>
  <c r="K20" i="11"/>
  <c r="J20" i="11"/>
  <c r="H20" i="11"/>
  <c r="G20" i="11"/>
  <c r="X18" i="11"/>
  <c r="W18" i="11"/>
  <c r="U18" i="11"/>
  <c r="T18" i="11"/>
  <c r="R18" i="11"/>
  <c r="Q18" i="11"/>
  <c r="O18" i="11"/>
  <c r="N18" i="11"/>
  <c r="L18" i="11"/>
  <c r="K18" i="11"/>
  <c r="I18" i="11"/>
  <c r="H18" i="11"/>
  <c r="F18" i="11"/>
  <c r="X17" i="11"/>
  <c r="H17" i="11"/>
  <c r="X16" i="11"/>
  <c r="W16" i="11"/>
  <c r="H16" i="11"/>
  <c r="X15" i="11"/>
  <c r="T15" i="11"/>
  <c r="Q15" i="11"/>
  <c r="N15" i="11"/>
  <c r="K15" i="11"/>
  <c r="H15" i="11"/>
  <c r="X14" i="11"/>
  <c r="X13" i="11"/>
  <c r="T13" i="11"/>
  <c r="Q13" i="11"/>
  <c r="N13" i="11"/>
  <c r="K13" i="11"/>
  <c r="H13" i="11"/>
  <c r="X12" i="11"/>
  <c r="V12" i="11"/>
  <c r="T12" i="11"/>
  <c r="S12" i="11"/>
  <c r="Q12" i="11"/>
  <c r="P12" i="11"/>
  <c r="N12" i="11"/>
  <c r="M12" i="11"/>
  <c r="K12" i="11"/>
  <c r="J12" i="11"/>
  <c r="H12" i="11"/>
  <c r="G12" i="11"/>
  <c r="X10" i="11"/>
  <c r="W10" i="11"/>
  <c r="U10" i="11"/>
  <c r="T10" i="11"/>
  <c r="R10" i="11"/>
  <c r="Q10" i="11"/>
  <c r="O10" i="11"/>
  <c r="N10" i="11"/>
  <c r="L10" i="11"/>
  <c r="K10" i="11"/>
  <c r="I10" i="11"/>
  <c r="H10" i="11"/>
  <c r="F10" i="11"/>
  <c r="X9" i="11"/>
  <c r="H9" i="11"/>
  <c r="X8" i="11"/>
  <c r="W8" i="11"/>
  <c r="H8" i="11"/>
  <c r="X7" i="11"/>
  <c r="T7" i="11"/>
  <c r="Q7" i="11"/>
  <c r="N7" i="11"/>
  <c r="K7" i="11"/>
  <c r="H7" i="11"/>
  <c r="X6" i="11"/>
  <c r="X5" i="11"/>
  <c r="T5" i="11"/>
  <c r="Q5" i="11"/>
  <c r="N5" i="11"/>
  <c r="K5" i="11"/>
  <c r="H5" i="11"/>
  <c r="X4" i="11"/>
  <c r="V4" i="11"/>
  <c r="T4" i="11"/>
  <c r="S4" i="11"/>
  <c r="Q4" i="11"/>
  <c r="P4" i="11"/>
  <c r="N4" i="11"/>
  <c r="M4" i="11"/>
  <c r="K4" i="11"/>
  <c r="J4" i="11"/>
  <c r="H4" i="11"/>
  <c r="G4" i="11"/>
  <c r="B45" i="10"/>
  <c r="B44" i="10"/>
  <c r="B43" i="10"/>
  <c r="J38" i="10"/>
  <c r="H38" i="10"/>
  <c r="F38" i="10"/>
  <c r="J37" i="10"/>
  <c r="I37" i="10"/>
  <c r="H37" i="10"/>
  <c r="G37" i="10"/>
  <c r="F37" i="10"/>
  <c r="E37" i="10"/>
  <c r="D37" i="10"/>
  <c r="J36" i="10"/>
  <c r="I36" i="10"/>
  <c r="H36" i="10"/>
  <c r="G36" i="10"/>
  <c r="F36" i="10"/>
  <c r="E36" i="10"/>
  <c r="J35" i="10"/>
  <c r="I35" i="10"/>
  <c r="H35" i="10"/>
  <c r="G35" i="10"/>
  <c r="F35" i="10"/>
  <c r="E35" i="10"/>
  <c r="D35" i="10"/>
  <c r="J34" i="10"/>
  <c r="I34" i="10"/>
  <c r="H34" i="10"/>
  <c r="G34" i="10"/>
  <c r="F34" i="10"/>
  <c r="E34" i="10"/>
  <c r="J33" i="10"/>
  <c r="I33" i="10"/>
  <c r="H33" i="10"/>
  <c r="G33" i="10"/>
  <c r="F33" i="10"/>
  <c r="E33" i="10"/>
  <c r="J32" i="10"/>
  <c r="I32" i="10"/>
  <c r="H32" i="10"/>
  <c r="G32" i="10"/>
  <c r="F32" i="10"/>
  <c r="E32" i="10"/>
  <c r="J31" i="10"/>
  <c r="I31" i="10"/>
  <c r="H31" i="10"/>
  <c r="G31" i="10"/>
  <c r="F31" i="10"/>
  <c r="E31" i="10"/>
  <c r="X26" i="10"/>
  <c r="W26" i="10"/>
  <c r="U26" i="10"/>
  <c r="T26" i="10"/>
  <c r="R26" i="10"/>
  <c r="Q26" i="10"/>
  <c r="O26" i="10"/>
  <c r="N26" i="10"/>
  <c r="L26" i="10"/>
  <c r="K26" i="10"/>
  <c r="I26" i="10"/>
  <c r="H26" i="10"/>
  <c r="F26" i="10"/>
  <c r="X25" i="10"/>
  <c r="H25" i="10"/>
  <c r="X24" i="10"/>
  <c r="W24" i="10"/>
  <c r="H24" i="10"/>
  <c r="X23" i="10"/>
  <c r="T23" i="10"/>
  <c r="Q23" i="10"/>
  <c r="N23" i="10"/>
  <c r="K23" i="10"/>
  <c r="H23" i="10"/>
  <c r="X22" i="10"/>
  <c r="X21" i="10"/>
  <c r="T21" i="10"/>
  <c r="Q21" i="10"/>
  <c r="N21" i="10"/>
  <c r="K21" i="10"/>
  <c r="H21" i="10"/>
  <c r="X20" i="10"/>
  <c r="V20" i="10"/>
  <c r="T20" i="10"/>
  <c r="S20" i="10"/>
  <c r="Q20" i="10"/>
  <c r="P20" i="10"/>
  <c r="N20" i="10"/>
  <c r="M20" i="10"/>
  <c r="K20" i="10"/>
  <c r="J20" i="10"/>
  <c r="H20" i="10"/>
  <c r="G20" i="10"/>
  <c r="X18" i="10"/>
  <c r="W18" i="10"/>
  <c r="U18" i="10"/>
  <c r="T18" i="10"/>
  <c r="R18" i="10"/>
  <c r="Q18" i="10"/>
  <c r="O18" i="10"/>
  <c r="N18" i="10"/>
  <c r="L18" i="10"/>
  <c r="K18" i="10"/>
  <c r="I18" i="10"/>
  <c r="H18" i="10"/>
  <c r="F18" i="10"/>
  <c r="X17" i="10"/>
  <c r="H17" i="10"/>
  <c r="X16" i="10"/>
  <c r="W16" i="10"/>
  <c r="H16" i="10"/>
  <c r="X15" i="10"/>
  <c r="T15" i="10"/>
  <c r="Q15" i="10"/>
  <c r="N15" i="10"/>
  <c r="K15" i="10"/>
  <c r="H15" i="10"/>
  <c r="X14" i="10"/>
  <c r="X13" i="10"/>
  <c r="T13" i="10"/>
  <c r="Q13" i="10"/>
  <c r="N13" i="10"/>
  <c r="K13" i="10"/>
  <c r="H13" i="10"/>
  <c r="X12" i="10"/>
  <c r="V12" i="10"/>
  <c r="T12" i="10"/>
  <c r="S12" i="10"/>
  <c r="Q12" i="10"/>
  <c r="P12" i="10"/>
  <c r="N12" i="10"/>
  <c r="M12" i="10"/>
  <c r="K12" i="10"/>
  <c r="J12" i="10"/>
  <c r="H12" i="10"/>
  <c r="G12" i="10"/>
  <c r="X10" i="10"/>
  <c r="W10" i="10"/>
  <c r="U10" i="10"/>
  <c r="T10" i="10"/>
  <c r="R10" i="10"/>
  <c r="Q10" i="10"/>
  <c r="O10" i="10"/>
  <c r="N10" i="10"/>
  <c r="L10" i="10"/>
  <c r="K10" i="10"/>
  <c r="I10" i="10"/>
  <c r="H10" i="10"/>
  <c r="F10" i="10"/>
  <c r="X9" i="10"/>
  <c r="H9" i="10"/>
  <c r="X8" i="10"/>
  <c r="W8" i="10"/>
  <c r="H8" i="10"/>
  <c r="X7" i="10"/>
  <c r="T7" i="10"/>
  <c r="Q7" i="10"/>
  <c r="N7" i="10"/>
  <c r="K7" i="10"/>
  <c r="H7" i="10"/>
  <c r="X6" i="10"/>
  <c r="X5" i="10"/>
  <c r="T5" i="10"/>
  <c r="Q5" i="10"/>
  <c r="N5" i="10"/>
  <c r="K5" i="10"/>
  <c r="H5" i="10"/>
  <c r="X4" i="10"/>
  <c r="V4" i="10"/>
  <c r="T4" i="10"/>
  <c r="S4" i="10"/>
  <c r="Q4" i="10"/>
  <c r="P4" i="10"/>
  <c r="N4" i="10"/>
  <c r="M4" i="10"/>
  <c r="K4" i="10"/>
  <c r="J4" i="10"/>
  <c r="H4" i="10"/>
  <c r="G4" i="10"/>
  <c r="B45" i="9"/>
  <c r="B44" i="9"/>
  <c r="B43" i="9"/>
  <c r="J38" i="9"/>
  <c r="H38" i="9"/>
  <c r="F38" i="9"/>
  <c r="J37" i="9"/>
  <c r="I37" i="9"/>
  <c r="H37" i="9"/>
  <c r="G37" i="9"/>
  <c r="F37" i="9"/>
  <c r="E37" i="9"/>
  <c r="D37" i="9"/>
  <c r="J36" i="9"/>
  <c r="I36" i="9"/>
  <c r="H36" i="9"/>
  <c r="G36" i="9"/>
  <c r="F36" i="9"/>
  <c r="E36" i="9"/>
  <c r="J35" i="9"/>
  <c r="I35" i="9"/>
  <c r="H35" i="9"/>
  <c r="G35" i="9"/>
  <c r="F35" i="9"/>
  <c r="E35" i="9"/>
  <c r="D35" i="9"/>
  <c r="J34" i="9"/>
  <c r="I34" i="9"/>
  <c r="H34" i="9"/>
  <c r="G34" i="9"/>
  <c r="F34" i="9"/>
  <c r="E34" i="9"/>
  <c r="J33" i="9"/>
  <c r="I33" i="9"/>
  <c r="H33" i="9"/>
  <c r="G33" i="9"/>
  <c r="F33" i="9"/>
  <c r="E33" i="9"/>
  <c r="J32" i="9"/>
  <c r="I32" i="9"/>
  <c r="H32" i="9"/>
  <c r="G32" i="9"/>
  <c r="F32" i="9"/>
  <c r="E32" i="9"/>
  <c r="J31" i="9"/>
  <c r="I31" i="9"/>
  <c r="H31" i="9"/>
  <c r="G31" i="9"/>
  <c r="F31" i="9"/>
  <c r="E31" i="9"/>
  <c r="X26" i="9"/>
  <c r="W26" i="9"/>
  <c r="U26" i="9"/>
  <c r="T26" i="9"/>
  <c r="R26" i="9"/>
  <c r="Q26" i="9"/>
  <c r="O26" i="9"/>
  <c r="N26" i="9"/>
  <c r="L26" i="9"/>
  <c r="K26" i="9"/>
  <c r="I26" i="9"/>
  <c r="H26" i="9"/>
  <c r="F26" i="9"/>
  <c r="X25" i="9"/>
  <c r="H25" i="9"/>
  <c r="X24" i="9"/>
  <c r="W24" i="9"/>
  <c r="H24" i="9"/>
  <c r="X23" i="9"/>
  <c r="T23" i="9"/>
  <c r="Q23" i="9"/>
  <c r="N23" i="9"/>
  <c r="K23" i="9"/>
  <c r="H23" i="9"/>
  <c r="X22" i="9"/>
  <c r="X21" i="9"/>
  <c r="T21" i="9"/>
  <c r="Q21" i="9"/>
  <c r="N21" i="9"/>
  <c r="K21" i="9"/>
  <c r="H21" i="9"/>
  <c r="X20" i="9"/>
  <c r="V20" i="9"/>
  <c r="T20" i="9"/>
  <c r="S20" i="9"/>
  <c r="Q20" i="9"/>
  <c r="P20" i="9"/>
  <c r="N20" i="9"/>
  <c r="M20" i="9"/>
  <c r="K20" i="9"/>
  <c r="J20" i="9"/>
  <c r="H20" i="9"/>
  <c r="G20" i="9"/>
  <c r="X18" i="9"/>
  <c r="W18" i="9"/>
  <c r="U18" i="9"/>
  <c r="T18" i="9"/>
  <c r="R18" i="9"/>
  <c r="Q18" i="9"/>
  <c r="O18" i="9"/>
  <c r="N18" i="9"/>
  <c r="L18" i="9"/>
  <c r="K18" i="9"/>
  <c r="I18" i="9"/>
  <c r="H18" i="9"/>
  <c r="F18" i="9"/>
  <c r="X17" i="9"/>
  <c r="H17" i="9"/>
  <c r="X16" i="9"/>
  <c r="W16" i="9"/>
  <c r="H16" i="9"/>
  <c r="X15" i="9"/>
  <c r="T15" i="9"/>
  <c r="Q15" i="9"/>
  <c r="N15" i="9"/>
  <c r="K15" i="9"/>
  <c r="H15" i="9"/>
  <c r="X14" i="9"/>
  <c r="X13" i="9"/>
  <c r="T13" i="9"/>
  <c r="Q13" i="9"/>
  <c r="N13" i="9"/>
  <c r="K13" i="9"/>
  <c r="H13" i="9"/>
  <c r="X12" i="9"/>
  <c r="V12" i="9"/>
  <c r="T12" i="9"/>
  <c r="S12" i="9"/>
  <c r="Q12" i="9"/>
  <c r="P12" i="9"/>
  <c r="N12" i="9"/>
  <c r="M12" i="9"/>
  <c r="K12" i="9"/>
  <c r="J12" i="9"/>
  <c r="H12" i="9"/>
  <c r="G12" i="9"/>
  <c r="X10" i="9"/>
  <c r="W10" i="9"/>
  <c r="U10" i="9"/>
  <c r="T10" i="9"/>
  <c r="R10" i="9"/>
  <c r="Q10" i="9"/>
  <c r="O10" i="9"/>
  <c r="N10" i="9"/>
  <c r="L10" i="9"/>
  <c r="K10" i="9"/>
  <c r="I10" i="9"/>
  <c r="H10" i="9"/>
  <c r="F10" i="9"/>
  <c r="X9" i="9"/>
  <c r="H9" i="9"/>
  <c r="X8" i="9"/>
  <c r="W8" i="9"/>
  <c r="H8" i="9"/>
  <c r="X7" i="9"/>
  <c r="T7" i="9"/>
  <c r="Q7" i="9"/>
  <c r="N7" i="9"/>
  <c r="K7" i="9"/>
  <c r="H7" i="9"/>
  <c r="X6" i="9"/>
  <c r="X5" i="9"/>
  <c r="T5" i="9"/>
  <c r="Q5" i="9"/>
  <c r="N5" i="9"/>
  <c r="K5" i="9"/>
  <c r="H5" i="9"/>
  <c r="X4" i="9"/>
  <c r="V4" i="9"/>
  <c r="T4" i="9"/>
  <c r="S4" i="9"/>
  <c r="Q4" i="9"/>
  <c r="P4" i="9"/>
  <c r="N4" i="9"/>
  <c r="M4" i="9"/>
  <c r="K4" i="9"/>
  <c r="J4" i="9"/>
  <c r="H4" i="9"/>
  <c r="G4" i="9"/>
  <c r="B45" i="8"/>
  <c r="B44" i="8"/>
  <c r="B43" i="8"/>
  <c r="J38" i="8"/>
  <c r="H38" i="8"/>
  <c r="F38" i="8"/>
  <c r="J37" i="8"/>
  <c r="I37" i="8"/>
  <c r="H37" i="8"/>
  <c r="G37" i="8"/>
  <c r="F37" i="8"/>
  <c r="E37" i="8"/>
  <c r="D37" i="8"/>
  <c r="J36" i="8"/>
  <c r="I36" i="8"/>
  <c r="H36" i="8"/>
  <c r="G36" i="8"/>
  <c r="F36" i="8"/>
  <c r="E36" i="8"/>
  <c r="J35" i="8"/>
  <c r="I35" i="8"/>
  <c r="H35" i="8"/>
  <c r="G35" i="8"/>
  <c r="F35" i="8"/>
  <c r="E35" i="8"/>
  <c r="D35" i="8"/>
  <c r="J34" i="8"/>
  <c r="I34" i="8"/>
  <c r="H34" i="8"/>
  <c r="G34" i="8"/>
  <c r="F34" i="8"/>
  <c r="E34" i="8"/>
  <c r="J33" i="8"/>
  <c r="I33" i="8"/>
  <c r="H33" i="8"/>
  <c r="G33" i="8"/>
  <c r="F33" i="8"/>
  <c r="E33" i="8"/>
  <c r="J32" i="8"/>
  <c r="I32" i="8"/>
  <c r="H32" i="8"/>
  <c r="G32" i="8"/>
  <c r="F32" i="8"/>
  <c r="E32" i="8"/>
  <c r="J31" i="8"/>
  <c r="I31" i="8"/>
  <c r="H31" i="8"/>
  <c r="G31" i="8"/>
  <c r="F31" i="8"/>
  <c r="E31" i="8"/>
  <c r="X26" i="8"/>
  <c r="W26" i="8"/>
  <c r="U26" i="8"/>
  <c r="T26" i="8"/>
  <c r="R26" i="8"/>
  <c r="Q26" i="8"/>
  <c r="O26" i="8"/>
  <c r="N26" i="8"/>
  <c r="L26" i="8"/>
  <c r="K26" i="8"/>
  <c r="I26" i="8"/>
  <c r="H26" i="8"/>
  <c r="F26" i="8"/>
  <c r="X25" i="8"/>
  <c r="H25" i="8"/>
  <c r="X24" i="8"/>
  <c r="W24" i="8"/>
  <c r="H24" i="8"/>
  <c r="X23" i="8"/>
  <c r="T23" i="8"/>
  <c r="Q23" i="8"/>
  <c r="N23" i="8"/>
  <c r="K23" i="8"/>
  <c r="H23" i="8"/>
  <c r="X22" i="8"/>
  <c r="X21" i="8"/>
  <c r="T21" i="8"/>
  <c r="Q21" i="8"/>
  <c r="N21" i="8"/>
  <c r="K21" i="8"/>
  <c r="H21" i="8"/>
  <c r="X20" i="8"/>
  <c r="V20" i="8"/>
  <c r="T20" i="8"/>
  <c r="S20" i="8"/>
  <c r="Q20" i="8"/>
  <c r="P20" i="8"/>
  <c r="N20" i="8"/>
  <c r="M20" i="8"/>
  <c r="K20" i="8"/>
  <c r="J20" i="8"/>
  <c r="H20" i="8"/>
  <c r="G20" i="8"/>
  <c r="X18" i="8"/>
  <c r="W18" i="8"/>
  <c r="U18" i="8"/>
  <c r="T18" i="8"/>
  <c r="R18" i="8"/>
  <c r="Q18" i="8"/>
  <c r="O18" i="8"/>
  <c r="N18" i="8"/>
  <c r="L18" i="8"/>
  <c r="K18" i="8"/>
  <c r="I18" i="8"/>
  <c r="H18" i="8"/>
  <c r="F18" i="8"/>
  <c r="X17" i="8"/>
  <c r="H17" i="8"/>
  <c r="X16" i="8"/>
  <c r="W16" i="8"/>
  <c r="H16" i="8"/>
  <c r="X15" i="8"/>
  <c r="T15" i="8"/>
  <c r="Q15" i="8"/>
  <c r="N15" i="8"/>
  <c r="K15" i="8"/>
  <c r="H15" i="8"/>
  <c r="X14" i="8"/>
  <c r="X13" i="8"/>
  <c r="T13" i="8"/>
  <c r="Q13" i="8"/>
  <c r="N13" i="8"/>
  <c r="K13" i="8"/>
  <c r="H13" i="8"/>
  <c r="X12" i="8"/>
  <c r="V12" i="8"/>
  <c r="T12" i="8"/>
  <c r="S12" i="8"/>
  <c r="Q12" i="8"/>
  <c r="P12" i="8"/>
  <c r="N12" i="8"/>
  <c r="M12" i="8"/>
  <c r="K12" i="8"/>
  <c r="J12" i="8"/>
  <c r="H12" i="8"/>
  <c r="G12" i="8"/>
  <c r="X10" i="8"/>
  <c r="W10" i="8"/>
  <c r="U10" i="8"/>
  <c r="T10" i="8"/>
  <c r="R10" i="8"/>
  <c r="Q10" i="8"/>
  <c r="O10" i="8"/>
  <c r="N10" i="8"/>
  <c r="L10" i="8"/>
  <c r="K10" i="8"/>
  <c r="I10" i="8"/>
  <c r="H10" i="8"/>
  <c r="F10" i="8"/>
  <c r="X9" i="8"/>
  <c r="H9" i="8"/>
  <c r="X8" i="8"/>
  <c r="W8" i="8"/>
  <c r="H8" i="8"/>
  <c r="X7" i="8"/>
  <c r="T7" i="8"/>
  <c r="Q7" i="8"/>
  <c r="N7" i="8"/>
  <c r="K7" i="8"/>
  <c r="H7" i="8"/>
  <c r="X6" i="8"/>
  <c r="X5" i="8"/>
  <c r="T5" i="8"/>
  <c r="Q5" i="8"/>
  <c r="N5" i="8"/>
  <c r="K5" i="8"/>
  <c r="H5" i="8"/>
  <c r="X4" i="8"/>
  <c r="V4" i="8"/>
  <c r="T4" i="8"/>
  <c r="S4" i="8"/>
  <c r="Q4" i="8"/>
  <c r="P4" i="8"/>
  <c r="N4" i="8"/>
  <c r="M4" i="8"/>
  <c r="K4" i="8"/>
  <c r="J4" i="8"/>
  <c r="H4" i="8"/>
  <c r="G4" i="8"/>
  <c r="B45" i="7"/>
  <c r="B44" i="7"/>
  <c r="B43" i="7"/>
  <c r="J38" i="7"/>
  <c r="H38" i="7"/>
  <c r="F38" i="7"/>
  <c r="J37" i="7"/>
  <c r="I37" i="7"/>
  <c r="H37" i="7"/>
  <c r="G37" i="7"/>
  <c r="F37" i="7"/>
  <c r="E37" i="7"/>
  <c r="D37" i="7"/>
  <c r="J36" i="7"/>
  <c r="I36" i="7"/>
  <c r="H36" i="7"/>
  <c r="G36" i="7"/>
  <c r="F36" i="7"/>
  <c r="E36" i="7"/>
  <c r="J35" i="7"/>
  <c r="I35" i="7"/>
  <c r="H35" i="7"/>
  <c r="G35" i="7"/>
  <c r="F35" i="7"/>
  <c r="E35" i="7"/>
  <c r="D35" i="7"/>
  <c r="J34" i="7"/>
  <c r="I34" i="7"/>
  <c r="H34" i="7"/>
  <c r="G34" i="7"/>
  <c r="F34" i="7"/>
  <c r="E34" i="7"/>
  <c r="J33" i="7"/>
  <c r="I33" i="7"/>
  <c r="H33" i="7"/>
  <c r="G33" i="7"/>
  <c r="F33" i="7"/>
  <c r="E33" i="7"/>
  <c r="J32" i="7"/>
  <c r="I32" i="7"/>
  <c r="H32" i="7"/>
  <c r="G32" i="7"/>
  <c r="F32" i="7"/>
  <c r="E32" i="7"/>
  <c r="J31" i="7"/>
  <c r="I31" i="7"/>
  <c r="H31" i="7"/>
  <c r="G31" i="7"/>
  <c r="F31" i="7"/>
  <c r="E31" i="7"/>
  <c r="X26" i="7"/>
  <c r="W26" i="7"/>
  <c r="U26" i="7"/>
  <c r="T26" i="7"/>
  <c r="R26" i="7"/>
  <c r="Q26" i="7"/>
  <c r="O26" i="7"/>
  <c r="N26" i="7"/>
  <c r="L26" i="7"/>
  <c r="K26" i="7"/>
  <c r="I26" i="7"/>
  <c r="H26" i="7"/>
  <c r="F26" i="7"/>
  <c r="X25" i="7"/>
  <c r="H25" i="7"/>
  <c r="X24" i="7"/>
  <c r="W24" i="7"/>
  <c r="H24" i="7"/>
  <c r="X23" i="7"/>
  <c r="T23" i="7"/>
  <c r="Q23" i="7"/>
  <c r="N23" i="7"/>
  <c r="K23" i="7"/>
  <c r="H23" i="7"/>
  <c r="X22" i="7"/>
  <c r="X21" i="7"/>
  <c r="T21" i="7"/>
  <c r="Q21" i="7"/>
  <c r="N21" i="7"/>
  <c r="K21" i="7"/>
  <c r="H21" i="7"/>
  <c r="X20" i="7"/>
  <c r="V20" i="7"/>
  <c r="T20" i="7"/>
  <c r="S20" i="7"/>
  <c r="Q20" i="7"/>
  <c r="P20" i="7"/>
  <c r="N20" i="7"/>
  <c r="M20" i="7"/>
  <c r="K20" i="7"/>
  <c r="J20" i="7"/>
  <c r="H20" i="7"/>
  <c r="G20" i="7"/>
  <c r="X18" i="7"/>
  <c r="W18" i="7"/>
  <c r="U18" i="7"/>
  <c r="T18" i="7"/>
  <c r="R18" i="7"/>
  <c r="Q18" i="7"/>
  <c r="O18" i="7"/>
  <c r="N18" i="7"/>
  <c r="L18" i="7"/>
  <c r="K18" i="7"/>
  <c r="I18" i="7"/>
  <c r="H18" i="7"/>
  <c r="F18" i="7"/>
  <c r="X17" i="7"/>
  <c r="H17" i="7"/>
  <c r="X16" i="7"/>
  <c r="W16" i="7"/>
  <c r="H16" i="7"/>
  <c r="X15" i="7"/>
  <c r="T15" i="7"/>
  <c r="Q15" i="7"/>
  <c r="N15" i="7"/>
  <c r="K15" i="7"/>
  <c r="H15" i="7"/>
  <c r="X14" i="7"/>
  <c r="X13" i="7"/>
  <c r="T13" i="7"/>
  <c r="Q13" i="7"/>
  <c r="N13" i="7"/>
  <c r="K13" i="7"/>
  <c r="H13" i="7"/>
  <c r="X12" i="7"/>
  <c r="V12" i="7"/>
  <c r="T12" i="7"/>
  <c r="S12" i="7"/>
  <c r="Q12" i="7"/>
  <c r="P12" i="7"/>
  <c r="N12" i="7"/>
  <c r="M12" i="7"/>
  <c r="K12" i="7"/>
  <c r="J12" i="7"/>
  <c r="H12" i="7"/>
  <c r="G12" i="7"/>
  <c r="X10" i="7"/>
  <c r="W10" i="7"/>
  <c r="U10" i="7"/>
  <c r="T10" i="7"/>
  <c r="R10" i="7"/>
  <c r="Q10" i="7"/>
  <c r="O10" i="7"/>
  <c r="N10" i="7"/>
  <c r="L10" i="7"/>
  <c r="K10" i="7"/>
  <c r="I10" i="7"/>
  <c r="H10" i="7"/>
  <c r="F10" i="7"/>
  <c r="X9" i="7"/>
  <c r="H9" i="7"/>
  <c r="X8" i="7"/>
  <c r="W8" i="7"/>
  <c r="H8" i="7"/>
  <c r="X7" i="7"/>
  <c r="T7" i="7"/>
  <c r="Q7" i="7"/>
  <c r="N7" i="7"/>
  <c r="K7" i="7"/>
  <c r="H7" i="7"/>
  <c r="X6" i="7"/>
  <c r="X5" i="7"/>
  <c r="T5" i="7"/>
  <c r="Q5" i="7"/>
  <c r="N5" i="7"/>
  <c r="K5" i="7"/>
  <c r="H5" i="7"/>
  <c r="X4" i="7"/>
  <c r="V4" i="7"/>
  <c r="T4" i="7"/>
  <c r="S4" i="7"/>
  <c r="Q4" i="7"/>
  <c r="P4" i="7"/>
  <c r="N4" i="7"/>
  <c r="M4" i="7"/>
  <c r="K4" i="7"/>
  <c r="J4" i="7"/>
  <c r="H4" i="7"/>
  <c r="G4" i="7"/>
  <c r="B45" i="6"/>
  <c r="B44" i="6"/>
  <c r="B43" i="6"/>
  <c r="J38" i="6"/>
  <c r="H38" i="6"/>
  <c r="F38" i="6"/>
  <c r="J37" i="6"/>
  <c r="I37" i="6"/>
  <c r="H37" i="6"/>
  <c r="G37" i="6"/>
  <c r="F37" i="6"/>
  <c r="E37" i="6"/>
  <c r="D37" i="6"/>
  <c r="J36" i="6"/>
  <c r="I36" i="6"/>
  <c r="H36" i="6"/>
  <c r="G36" i="6"/>
  <c r="F36" i="6"/>
  <c r="E36" i="6"/>
  <c r="J35" i="6"/>
  <c r="I35" i="6"/>
  <c r="H35" i="6"/>
  <c r="G35" i="6"/>
  <c r="F35" i="6"/>
  <c r="E35" i="6"/>
  <c r="D35" i="6"/>
  <c r="J34" i="6"/>
  <c r="I34" i="6"/>
  <c r="H34" i="6"/>
  <c r="G34" i="6"/>
  <c r="F34" i="6"/>
  <c r="E34" i="6"/>
  <c r="J33" i="6"/>
  <c r="I33" i="6"/>
  <c r="H33" i="6"/>
  <c r="G33" i="6"/>
  <c r="F33" i="6"/>
  <c r="E33" i="6"/>
  <c r="J32" i="6"/>
  <c r="I32" i="6"/>
  <c r="H32" i="6"/>
  <c r="G32" i="6"/>
  <c r="F32" i="6"/>
  <c r="E32" i="6"/>
  <c r="J31" i="6"/>
  <c r="I31" i="6"/>
  <c r="H31" i="6"/>
  <c r="G31" i="6"/>
  <c r="F31" i="6"/>
  <c r="E31" i="6"/>
  <c r="X26" i="6"/>
  <c r="W26" i="6"/>
  <c r="U26" i="6"/>
  <c r="T26" i="6"/>
  <c r="R26" i="6"/>
  <c r="Q26" i="6"/>
  <c r="O26" i="6"/>
  <c r="N26" i="6"/>
  <c r="L26" i="6"/>
  <c r="K26" i="6"/>
  <c r="I26" i="6"/>
  <c r="H26" i="6"/>
  <c r="F26" i="6"/>
  <c r="X25" i="6"/>
  <c r="H25" i="6"/>
  <c r="X24" i="6"/>
  <c r="W24" i="6"/>
  <c r="H24" i="6"/>
  <c r="X23" i="6"/>
  <c r="T23" i="6"/>
  <c r="Q23" i="6"/>
  <c r="N23" i="6"/>
  <c r="K23" i="6"/>
  <c r="H23" i="6"/>
  <c r="X22" i="6"/>
  <c r="X21" i="6"/>
  <c r="T21" i="6"/>
  <c r="Q21" i="6"/>
  <c r="N21" i="6"/>
  <c r="K21" i="6"/>
  <c r="H21" i="6"/>
  <c r="X20" i="6"/>
  <c r="V20" i="6"/>
  <c r="T20" i="6"/>
  <c r="S20" i="6"/>
  <c r="Q20" i="6"/>
  <c r="P20" i="6"/>
  <c r="N20" i="6"/>
  <c r="M20" i="6"/>
  <c r="K20" i="6"/>
  <c r="J20" i="6"/>
  <c r="H20" i="6"/>
  <c r="G20" i="6"/>
  <c r="X18" i="6"/>
  <c r="W18" i="6"/>
  <c r="U18" i="6"/>
  <c r="T18" i="6"/>
  <c r="R18" i="6"/>
  <c r="Q18" i="6"/>
  <c r="O18" i="6"/>
  <c r="N18" i="6"/>
  <c r="L18" i="6"/>
  <c r="K18" i="6"/>
  <c r="I18" i="6"/>
  <c r="H18" i="6"/>
  <c r="F18" i="6"/>
  <c r="X17" i="6"/>
  <c r="H17" i="6"/>
  <c r="X16" i="6"/>
  <c r="W16" i="6"/>
  <c r="H16" i="6"/>
  <c r="X15" i="6"/>
  <c r="T15" i="6"/>
  <c r="Q15" i="6"/>
  <c r="N15" i="6"/>
  <c r="K15" i="6"/>
  <c r="H15" i="6"/>
  <c r="X14" i="6"/>
  <c r="X13" i="6"/>
  <c r="T13" i="6"/>
  <c r="Q13" i="6"/>
  <c r="N13" i="6"/>
  <c r="K13" i="6"/>
  <c r="H13" i="6"/>
  <c r="X12" i="6"/>
  <c r="V12" i="6"/>
  <c r="T12" i="6"/>
  <c r="S12" i="6"/>
  <c r="Q12" i="6"/>
  <c r="P12" i="6"/>
  <c r="N12" i="6"/>
  <c r="M12" i="6"/>
  <c r="K12" i="6"/>
  <c r="J12" i="6"/>
  <c r="H12" i="6"/>
  <c r="G12" i="6"/>
  <c r="X10" i="6"/>
  <c r="W10" i="6"/>
  <c r="U10" i="6"/>
  <c r="T10" i="6"/>
  <c r="R10" i="6"/>
  <c r="Q10" i="6"/>
  <c r="O10" i="6"/>
  <c r="N10" i="6"/>
  <c r="L10" i="6"/>
  <c r="K10" i="6"/>
  <c r="I10" i="6"/>
  <c r="H10" i="6"/>
  <c r="F10" i="6"/>
  <c r="X9" i="6"/>
  <c r="H9" i="6"/>
  <c r="X8" i="6"/>
  <c r="W8" i="6"/>
  <c r="H8" i="6"/>
  <c r="X7" i="6"/>
  <c r="T7" i="6"/>
  <c r="Q7" i="6"/>
  <c r="N7" i="6"/>
  <c r="K7" i="6"/>
  <c r="H7" i="6"/>
  <c r="X6" i="6"/>
  <c r="X5" i="6"/>
  <c r="T5" i="6"/>
  <c r="Q5" i="6"/>
  <c r="N5" i="6"/>
  <c r="K5" i="6"/>
  <c r="H5" i="6"/>
  <c r="X4" i="6"/>
  <c r="V4" i="6"/>
  <c r="T4" i="6"/>
  <c r="S4" i="6"/>
  <c r="Q4" i="6"/>
  <c r="P4" i="6"/>
  <c r="N4" i="6"/>
  <c r="M4" i="6"/>
  <c r="K4" i="6"/>
  <c r="J4" i="6"/>
  <c r="H4" i="6"/>
  <c r="G4" i="6"/>
  <c r="B45" i="5"/>
  <c r="B44" i="5"/>
  <c r="B43" i="5"/>
  <c r="J38" i="5"/>
  <c r="H38" i="5"/>
  <c r="F38" i="5"/>
  <c r="J37" i="5"/>
  <c r="I37" i="5"/>
  <c r="H37" i="5"/>
  <c r="G37" i="5"/>
  <c r="F37" i="5"/>
  <c r="E37" i="5"/>
  <c r="D37" i="5"/>
  <c r="J36" i="5"/>
  <c r="I36" i="5"/>
  <c r="H36" i="5"/>
  <c r="G36" i="5"/>
  <c r="F36" i="5"/>
  <c r="E36" i="5"/>
  <c r="J35" i="5"/>
  <c r="I35" i="5"/>
  <c r="H35" i="5"/>
  <c r="G35" i="5"/>
  <c r="F35" i="5"/>
  <c r="E35" i="5"/>
  <c r="D35" i="5"/>
  <c r="J34" i="5"/>
  <c r="I34" i="5"/>
  <c r="H34" i="5"/>
  <c r="G34" i="5"/>
  <c r="F34" i="5"/>
  <c r="E34" i="5"/>
  <c r="J33" i="5"/>
  <c r="I33" i="5"/>
  <c r="H33" i="5"/>
  <c r="G33" i="5"/>
  <c r="F33" i="5"/>
  <c r="E33" i="5"/>
  <c r="J32" i="5"/>
  <c r="I32" i="5"/>
  <c r="H32" i="5"/>
  <c r="G32" i="5"/>
  <c r="F32" i="5"/>
  <c r="E32" i="5"/>
  <c r="J31" i="5"/>
  <c r="I31" i="5"/>
  <c r="H31" i="5"/>
  <c r="G31" i="5"/>
  <c r="F31" i="5"/>
  <c r="E31" i="5"/>
  <c r="X26" i="5"/>
  <c r="W26" i="5"/>
  <c r="U26" i="5"/>
  <c r="T26" i="5"/>
  <c r="R26" i="5"/>
  <c r="Q26" i="5"/>
  <c r="O26" i="5"/>
  <c r="N26" i="5"/>
  <c r="L26" i="5"/>
  <c r="K26" i="5"/>
  <c r="I26" i="5"/>
  <c r="H26" i="5"/>
  <c r="F26" i="5"/>
  <c r="X25" i="5"/>
  <c r="H25" i="5"/>
  <c r="X24" i="5"/>
  <c r="W24" i="5"/>
  <c r="H24" i="5"/>
  <c r="X23" i="5"/>
  <c r="T23" i="5"/>
  <c r="Q23" i="5"/>
  <c r="N23" i="5"/>
  <c r="K23" i="5"/>
  <c r="H23" i="5"/>
  <c r="X22" i="5"/>
  <c r="X21" i="5"/>
  <c r="T21" i="5"/>
  <c r="Q21" i="5"/>
  <c r="N21" i="5"/>
  <c r="K21" i="5"/>
  <c r="H21" i="5"/>
  <c r="X20" i="5"/>
  <c r="V20" i="5"/>
  <c r="T20" i="5"/>
  <c r="S20" i="5"/>
  <c r="Q20" i="5"/>
  <c r="P20" i="5"/>
  <c r="N20" i="5"/>
  <c r="M20" i="5"/>
  <c r="K20" i="5"/>
  <c r="J20" i="5"/>
  <c r="H20" i="5"/>
  <c r="G20" i="5"/>
  <c r="X18" i="5"/>
  <c r="W18" i="5"/>
  <c r="U18" i="5"/>
  <c r="T18" i="5"/>
  <c r="R18" i="5"/>
  <c r="Q18" i="5"/>
  <c r="O18" i="5"/>
  <c r="N18" i="5"/>
  <c r="L18" i="5"/>
  <c r="K18" i="5"/>
  <c r="I18" i="5"/>
  <c r="H18" i="5"/>
  <c r="F18" i="5"/>
  <c r="X17" i="5"/>
  <c r="H17" i="5"/>
  <c r="X16" i="5"/>
  <c r="W16" i="5"/>
  <c r="H16" i="5"/>
  <c r="X15" i="5"/>
  <c r="T15" i="5"/>
  <c r="Q15" i="5"/>
  <c r="N15" i="5"/>
  <c r="K15" i="5"/>
  <c r="H15" i="5"/>
  <c r="X14" i="5"/>
  <c r="X13" i="5"/>
  <c r="T13" i="5"/>
  <c r="Q13" i="5"/>
  <c r="N13" i="5"/>
  <c r="K13" i="5"/>
  <c r="H13" i="5"/>
  <c r="X12" i="5"/>
  <c r="V12" i="5"/>
  <c r="T12" i="5"/>
  <c r="S12" i="5"/>
  <c r="Q12" i="5"/>
  <c r="P12" i="5"/>
  <c r="N12" i="5"/>
  <c r="M12" i="5"/>
  <c r="K12" i="5"/>
  <c r="J12" i="5"/>
  <c r="H12" i="5"/>
  <c r="G12" i="5"/>
  <c r="X10" i="5"/>
  <c r="W10" i="5"/>
  <c r="U10" i="5"/>
  <c r="T10" i="5"/>
  <c r="R10" i="5"/>
  <c r="Q10" i="5"/>
  <c r="O10" i="5"/>
  <c r="N10" i="5"/>
  <c r="L10" i="5"/>
  <c r="K10" i="5"/>
  <c r="I10" i="5"/>
  <c r="H10" i="5"/>
  <c r="F10" i="5"/>
  <c r="X9" i="5"/>
  <c r="H9" i="5"/>
  <c r="X8" i="5"/>
  <c r="W8" i="5"/>
  <c r="H8" i="5"/>
  <c r="X7" i="5"/>
  <c r="T7" i="5"/>
  <c r="Q7" i="5"/>
  <c r="N7" i="5"/>
  <c r="K7" i="5"/>
  <c r="H7" i="5"/>
  <c r="X6" i="5"/>
  <c r="X5" i="5"/>
  <c r="T5" i="5"/>
  <c r="Q5" i="5"/>
  <c r="N5" i="5"/>
  <c r="K5" i="5"/>
  <c r="H5" i="5"/>
  <c r="X4" i="5"/>
  <c r="V4" i="5"/>
  <c r="T4" i="5"/>
  <c r="S4" i="5"/>
  <c r="Q4" i="5"/>
  <c r="P4" i="5"/>
  <c r="N4" i="5"/>
  <c r="M4" i="5"/>
  <c r="K4" i="5"/>
  <c r="J4" i="5"/>
  <c r="H4" i="5"/>
  <c r="G4" i="5"/>
  <c r="B45" i="4"/>
  <c r="B44" i="4"/>
  <c r="B43" i="4"/>
  <c r="J38" i="4"/>
  <c r="H38" i="4"/>
  <c r="F38" i="4"/>
  <c r="J37" i="4"/>
  <c r="I37" i="4"/>
  <c r="H37" i="4"/>
  <c r="G37" i="4"/>
  <c r="F37" i="4"/>
  <c r="E37" i="4"/>
  <c r="D37" i="4"/>
  <c r="J36" i="4"/>
  <c r="I36" i="4"/>
  <c r="H36" i="4"/>
  <c r="G36" i="4"/>
  <c r="F36" i="4"/>
  <c r="E36" i="4"/>
  <c r="J35" i="4"/>
  <c r="I35" i="4"/>
  <c r="H35" i="4"/>
  <c r="G35" i="4"/>
  <c r="F35" i="4"/>
  <c r="E35" i="4"/>
  <c r="D35" i="4"/>
  <c r="J34" i="4"/>
  <c r="I34" i="4"/>
  <c r="H34" i="4"/>
  <c r="G34" i="4"/>
  <c r="F34" i="4"/>
  <c r="E34" i="4"/>
  <c r="J33" i="4"/>
  <c r="I33" i="4"/>
  <c r="H33" i="4"/>
  <c r="G33" i="4"/>
  <c r="F33" i="4"/>
  <c r="E33" i="4"/>
  <c r="J32" i="4"/>
  <c r="I32" i="4"/>
  <c r="H32" i="4"/>
  <c r="G32" i="4"/>
  <c r="F32" i="4"/>
  <c r="E32" i="4"/>
  <c r="J31" i="4"/>
  <c r="I31" i="4"/>
  <c r="H31" i="4"/>
  <c r="G31" i="4"/>
  <c r="F31" i="4"/>
  <c r="E31" i="4"/>
  <c r="X26" i="4"/>
  <c r="W26" i="4"/>
  <c r="U26" i="4"/>
  <c r="T26" i="4"/>
  <c r="R26" i="4"/>
  <c r="Q26" i="4"/>
  <c r="O26" i="4"/>
  <c r="N26" i="4"/>
  <c r="L26" i="4"/>
  <c r="K26" i="4"/>
  <c r="I26" i="4"/>
  <c r="H26" i="4"/>
  <c r="F26" i="4"/>
  <c r="X25" i="4"/>
  <c r="H25" i="4"/>
  <c r="X24" i="4"/>
  <c r="W24" i="4"/>
  <c r="H24" i="4"/>
  <c r="X23" i="4"/>
  <c r="T23" i="4"/>
  <c r="Q23" i="4"/>
  <c r="N23" i="4"/>
  <c r="K23" i="4"/>
  <c r="H23" i="4"/>
  <c r="X22" i="4"/>
  <c r="X21" i="4"/>
  <c r="T21" i="4"/>
  <c r="Q21" i="4"/>
  <c r="N21" i="4"/>
  <c r="K21" i="4"/>
  <c r="H21" i="4"/>
  <c r="X20" i="4"/>
  <c r="V20" i="4"/>
  <c r="T20" i="4"/>
  <c r="S20" i="4"/>
  <c r="Q20" i="4"/>
  <c r="P20" i="4"/>
  <c r="N20" i="4"/>
  <c r="M20" i="4"/>
  <c r="K20" i="4"/>
  <c r="J20" i="4"/>
  <c r="H20" i="4"/>
  <c r="G20" i="4"/>
  <c r="X18" i="4"/>
  <c r="W18" i="4"/>
  <c r="U18" i="4"/>
  <c r="T18" i="4"/>
  <c r="R18" i="4"/>
  <c r="Q18" i="4"/>
  <c r="O18" i="4"/>
  <c r="N18" i="4"/>
  <c r="L18" i="4"/>
  <c r="K18" i="4"/>
  <c r="I18" i="4"/>
  <c r="H18" i="4"/>
  <c r="F18" i="4"/>
  <c r="X17" i="4"/>
  <c r="H17" i="4"/>
  <c r="X16" i="4"/>
  <c r="W16" i="4"/>
  <c r="H16" i="4"/>
  <c r="X15" i="4"/>
  <c r="T15" i="4"/>
  <c r="Q15" i="4"/>
  <c r="N15" i="4"/>
  <c r="K15" i="4"/>
  <c r="H15" i="4"/>
  <c r="X14" i="4"/>
  <c r="X13" i="4"/>
  <c r="T13" i="4"/>
  <c r="Q13" i="4"/>
  <c r="N13" i="4"/>
  <c r="K13" i="4"/>
  <c r="H13" i="4"/>
  <c r="X12" i="4"/>
  <c r="V12" i="4"/>
  <c r="T12" i="4"/>
  <c r="S12" i="4"/>
  <c r="Q12" i="4"/>
  <c r="P12" i="4"/>
  <c r="N12" i="4"/>
  <c r="M12" i="4"/>
  <c r="K12" i="4"/>
  <c r="J12" i="4"/>
  <c r="H12" i="4"/>
  <c r="G12" i="4"/>
  <c r="X10" i="4"/>
  <c r="W10" i="4"/>
  <c r="U10" i="4"/>
  <c r="T10" i="4"/>
  <c r="R10" i="4"/>
  <c r="Q10" i="4"/>
  <c r="O10" i="4"/>
  <c r="N10" i="4"/>
  <c r="L10" i="4"/>
  <c r="K10" i="4"/>
  <c r="I10" i="4"/>
  <c r="H10" i="4"/>
  <c r="F10" i="4"/>
  <c r="X9" i="4"/>
  <c r="H9" i="4"/>
  <c r="X8" i="4"/>
  <c r="W8" i="4"/>
  <c r="H8" i="4"/>
  <c r="X7" i="4"/>
  <c r="T7" i="4"/>
  <c r="Q7" i="4"/>
  <c r="N7" i="4"/>
  <c r="K7" i="4"/>
  <c r="H7" i="4"/>
  <c r="X6" i="4"/>
  <c r="X5" i="4"/>
  <c r="T5" i="4"/>
  <c r="Q5" i="4"/>
  <c r="N5" i="4"/>
  <c r="K5" i="4"/>
  <c r="H5" i="4"/>
  <c r="X4" i="4"/>
  <c r="V4" i="4"/>
  <c r="T4" i="4"/>
  <c r="S4" i="4"/>
  <c r="Q4" i="4"/>
  <c r="P4" i="4"/>
  <c r="N4" i="4"/>
  <c r="M4" i="4"/>
  <c r="K4" i="4"/>
  <c r="J4" i="4"/>
  <c r="H4" i="4"/>
  <c r="G4" i="4"/>
  <c r="B45" i="3"/>
  <c r="B44" i="3"/>
  <c r="B43" i="3"/>
  <c r="J38" i="3"/>
  <c r="H38" i="3"/>
  <c r="F38" i="3"/>
  <c r="J37" i="3"/>
  <c r="I37" i="3"/>
  <c r="H37" i="3"/>
  <c r="G37" i="3"/>
  <c r="F37" i="3"/>
  <c r="E37" i="3"/>
  <c r="D37" i="3"/>
  <c r="J36" i="3"/>
  <c r="I36" i="3"/>
  <c r="H36" i="3"/>
  <c r="G36" i="3"/>
  <c r="F36" i="3"/>
  <c r="E36" i="3"/>
  <c r="J35" i="3"/>
  <c r="I35" i="3"/>
  <c r="H35" i="3"/>
  <c r="G35" i="3"/>
  <c r="F35" i="3"/>
  <c r="E35" i="3"/>
  <c r="D35" i="3"/>
  <c r="J34" i="3"/>
  <c r="I34" i="3"/>
  <c r="H34" i="3"/>
  <c r="G34" i="3"/>
  <c r="F34" i="3"/>
  <c r="E34" i="3"/>
  <c r="J33" i="3"/>
  <c r="I33" i="3"/>
  <c r="H33" i="3"/>
  <c r="G33" i="3"/>
  <c r="F33" i="3"/>
  <c r="E33" i="3"/>
  <c r="J32" i="3"/>
  <c r="I32" i="3"/>
  <c r="H32" i="3"/>
  <c r="G32" i="3"/>
  <c r="F32" i="3"/>
  <c r="E32" i="3"/>
  <c r="J31" i="3"/>
  <c r="I31" i="3"/>
  <c r="H31" i="3"/>
  <c r="G31" i="3"/>
  <c r="F31" i="3"/>
  <c r="E31" i="3"/>
  <c r="X26" i="3"/>
  <c r="W26" i="3"/>
  <c r="U26" i="3"/>
  <c r="T26" i="3"/>
  <c r="R26" i="3"/>
  <c r="Q26" i="3"/>
  <c r="O26" i="3"/>
  <c r="N26" i="3"/>
  <c r="L26" i="3"/>
  <c r="K26" i="3"/>
  <c r="I26" i="3"/>
  <c r="H26" i="3"/>
  <c r="F26" i="3"/>
  <c r="X25" i="3"/>
  <c r="H25" i="3"/>
  <c r="X24" i="3"/>
  <c r="W24" i="3"/>
  <c r="H24" i="3"/>
  <c r="X23" i="3"/>
  <c r="T23" i="3"/>
  <c r="Q23" i="3"/>
  <c r="N23" i="3"/>
  <c r="K23" i="3"/>
  <c r="H23" i="3"/>
  <c r="X22" i="3"/>
  <c r="X21" i="3"/>
  <c r="T21" i="3"/>
  <c r="Q21" i="3"/>
  <c r="N21" i="3"/>
  <c r="K21" i="3"/>
  <c r="H21" i="3"/>
  <c r="X20" i="3"/>
  <c r="V20" i="3"/>
  <c r="T20" i="3"/>
  <c r="S20" i="3"/>
  <c r="Q20" i="3"/>
  <c r="P20" i="3"/>
  <c r="N20" i="3"/>
  <c r="M20" i="3"/>
  <c r="K20" i="3"/>
  <c r="J20" i="3"/>
  <c r="H20" i="3"/>
  <c r="G20" i="3"/>
  <c r="X18" i="3"/>
  <c r="W18" i="3"/>
  <c r="U18" i="3"/>
  <c r="T18" i="3"/>
  <c r="R18" i="3"/>
  <c r="Q18" i="3"/>
  <c r="O18" i="3"/>
  <c r="N18" i="3"/>
  <c r="L18" i="3"/>
  <c r="K18" i="3"/>
  <c r="I18" i="3"/>
  <c r="H18" i="3"/>
  <c r="F18" i="3"/>
  <c r="X17" i="3"/>
  <c r="H17" i="3"/>
  <c r="X16" i="3"/>
  <c r="W16" i="3"/>
  <c r="H16" i="3"/>
  <c r="X15" i="3"/>
  <c r="T15" i="3"/>
  <c r="Q15" i="3"/>
  <c r="N15" i="3"/>
  <c r="K15" i="3"/>
  <c r="H15" i="3"/>
  <c r="X14" i="3"/>
  <c r="X13" i="3"/>
  <c r="T13" i="3"/>
  <c r="Q13" i="3"/>
  <c r="N13" i="3"/>
  <c r="K13" i="3"/>
  <c r="H13" i="3"/>
  <c r="X12" i="3"/>
  <c r="V12" i="3"/>
  <c r="T12" i="3"/>
  <c r="S12" i="3"/>
  <c r="Q12" i="3"/>
  <c r="P12" i="3"/>
  <c r="N12" i="3"/>
  <c r="M12" i="3"/>
  <c r="K12" i="3"/>
  <c r="J12" i="3"/>
  <c r="H12" i="3"/>
  <c r="G12" i="3"/>
  <c r="X10" i="3"/>
  <c r="W10" i="3"/>
  <c r="U10" i="3"/>
  <c r="T10" i="3"/>
  <c r="R10" i="3"/>
  <c r="Q10" i="3"/>
  <c r="O10" i="3"/>
  <c r="N10" i="3"/>
  <c r="L10" i="3"/>
  <c r="K10" i="3"/>
  <c r="I10" i="3"/>
  <c r="H10" i="3"/>
  <c r="F10" i="3"/>
  <c r="X9" i="3"/>
  <c r="H9" i="3"/>
  <c r="X8" i="3"/>
  <c r="W8" i="3"/>
  <c r="H8" i="3"/>
  <c r="X7" i="3"/>
  <c r="T7" i="3"/>
  <c r="Q7" i="3"/>
  <c r="N7" i="3"/>
  <c r="K7" i="3"/>
  <c r="H7" i="3"/>
  <c r="X6" i="3"/>
  <c r="X5" i="3"/>
  <c r="T5" i="3"/>
  <c r="Q5" i="3"/>
  <c r="N5" i="3"/>
  <c r="K5" i="3"/>
  <c r="H5" i="3"/>
  <c r="X4" i="3"/>
  <c r="V4" i="3"/>
  <c r="T4" i="3"/>
  <c r="S4" i="3"/>
  <c r="Q4" i="3"/>
  <c r="P4" i="3"/>
  <c r="N4" i="3"/>
  <c r="M4" i="3"/>
  <c r="K4" i="3"/>
  <c r="J4" i="3"/>
  <c r="H4" i="3"/>
  <c r="G4" i="3"/>
</calcChain>
</file>

<file path=xl/sharedStrings.xml><?xml version="1.0" encoding="utf-8"?>
<sst xmlns="http://schemas.openxmlformats.org/spreadsheetml/2006/main" count="3197" uniqueCount="133">
  <si>
    <t>账号：</t>
  </si>
  <si>
    <t>上海大学</t>
  </si>
  <si>
    <t>密码：</t>
  </si>
  <si>
    <t>Secms&amp;Measure@01</t>
  </si>
  <si>
    <t>留学人员</t>
  </si>
  <si>
    <t>年份</t>
  </si>
  <si>
    <t>序号</t>
  </si>
  <si>
    <t>学校类别</t>
  </si>
  <si>
    <t>类别</t>
  </si>
  <si>
    <t>按自然规模人数计算</t>
  </si>
  <si>
    <t>硕士生补助</t>
  </si>
  <si>
    <t>博士生补助</t>
  </si>
  <si>
    <t>硕士留学生补助</t>
  </si>
  <si>
    <t>博士留学生补助</t>
  </si>
  <si>
    <t>留学生补助</t>
  </si>
  <si>
    <t>测算合计</t>
  </si>
  <si>
    <r>
      <rPr>
        <sz val="12"/>
        <color theme="1"/>
        <rFont val="宋体"/>
        <family val="3"/>
        <charset val="134"/>
        <scheme val="minor"/>
      </rPr>
      <t>面积指标
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/生</t>
    </r>
  </si>
  <si>
    <t>2022高基人数</t>
  </si>
  <si>
    <t>建筑面积
m2</t>
  </si>
  <si>
    <r>
      <rPr>
        <sz val="12"/>
        <color theme="1"/>
        <rFont val="宋体"/>
        <family val="3"/>
        <charset val="134"/>
        <scheme val="minor"/>
      </rPr>
      <t>硕士
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/生</t>
    </r>
  </si>
  <si>
    <r>
      <rPr>
        <sz val="12"/>
        <color theme="1"/>
        <rFont val="宋体"/>
        <family val="3"/>
        <charset val="134"/>
        <scheme val="minor"/>
      </rPr>
      <t>博士
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/生</t>
    </r>
  </si>
  <si>
    <r>
      <rPr>
        <sz val="12"/>
        <color theme="1"/>
        <rFont val="宋体"/>
        <family val="3"/>
        <charset val="134"/>
        <scheme val="minor"/>
      </rPr>
      <t>留学生
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/生</t>
    </r>
  </si>
  <si>
    <r>
      <rPr>
        <sz val="12"/>
        <color rgb="FF002060"/>
        <rFont val="宋体"/>
        <family val="3"/>
        <charset val="134"/>
        <scheme val="minor"/>
      </rPr>
      <t>留学生
m</t>
    </r>
    <r>
      <rPr>
        <vertAlign val="superscript"/>
        <sz val="12"/>
        <color rgb="FF002060"/>
        <rFont val="宋体"/>
        <family val="3"/>
        <charset val="134"/>
        <scheme val="minor"/>
      </rPr>
      <t>2</t>
    </r>
    <r>
      <rPr>
        <sz val="12"/>
        <color rgb="FF002060"/>
        <rFont val="宋体"/>
        <family val="3"/>
        <charset val="134"/>
        <scheme val="minor"/>
      </rPr>
      <t>/生</t>
    </r>
  </si>
  <si>
    <t>建筑面积m2</t>
  </si>
  <si>
    <t>综合院校</t>
  </si>
  <si>
    <t>教学及辅助用房</t>
  </si>
  <si>
    <t>办公用房</t>
  </si>
  <si>
    <t>生活配套用房</t>
  </si>
  <si>
    <t>其中：学生宿舍</t>
  </si>
  <si>
    <t>其中：其他</t>
  </si>
  <si>
    <t>后勤辅助用房</t>
  </si>
  <si>
    <t>合计</t>
  </si>
  <si>
    <t>“十五五”校舍缺额面积测算表</t>
  </si>
  <si>
    <t>校舍用房类别</t>
  </si>
  <si>
    <r>
      <rPr>
        <sz val="12"/>
        <color theme="1"/>
        <rFont val="宋体"/>
        <family val="3"/>
        <charset val="134"/>
        <scheme val="minor"/>
      </rPr>
      <t>现状面积（</t>
    </r>
    <r>
      <rPr>
        <sz val="12"/>
        <color theme="1"/>
        <rFont val="宋体"/>
        <family val="3"/>
        <charset val="134"/>
        <scheme val="minor"/>
      </rPr>
      <t>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</si>
  <si>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按</t>
    </r>
    <r>
      <rPr>
        <sz val="12"/>
        <color theme="1"/>
        <rFont val="宋体"/>
        <family val="3"/>
        <charset val="134"/>
        <scheme val="minor"/>
      </rPr>
      <t>2024</t>
    </r>
    <r>
      <rPr>
        <sz val="12"/>
        <color theme="1"/>
        <rFont val="宋体"/>
        <family val="3"/>
        <charset val="134"/>
        <scheme val="minor"/>
      </rPr>
      <t>年教育事业统计数据学生数测算面积（</t>
    </r>
    <r>
      <rPr>
        <sz val="12"/>
        <color theme="1"/>
        <rFont val="宋体"/>
        <family val="3"/>
        <charset val="134"/>
        <scheme val="minor"/>
      </rPr>
      <t>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</si>
  <si>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按</t>
    </r>
    <r>
      <rPr>
        <sz val="12"/>
        <color theme="1"/>
        <rFont val="宋体"/>
        <family val="3"/>
        <charset val="134"/>
        <scheme val="minor"/>
      </rPr>
      <t>2024</t>
    </r>
    <r>
      <rPr>
        <sz val="12"/>
        <color theme="1"/>
        <rFont val="宋体"/>
        <family val="3"/>
        <charset val="134"/>
        <scheme val="minor"/>
      </rPr>
      <t>年教育事业统计数据学生数测算缺额（</t>
    </r>
    <r>
      <rPr>
        <sz val="12"/>
        <color theme="1"/>
        <rFont val="宋体"/>
        <family val="3"/>
        <charset val="134"/>
        <scheme val="minor"/>
      </rPr>
      <t>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</si>
  <si>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2030</t>
    </r>
    <r>
      <rPr>
        <sz val="12"/>
        <color theme="1"/>
        <rFont val="宋体"/>
        <family val="3"/>
        <charset val="134"/>
        <scheme val="minor"/>
      </rPr>
      <t>年发展规模学生数测算面积（</t>
    </r>
    <r>
      <rPr>
        <sz val="12"/>
        <color theme="1"/>
        <rFont val="宋体"/>
        <family val="3"/>
        <charset val="134"/>
        <scheme val="minor"/>
      </rPr>
      <t>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</si>
  <si>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2030</t>
    </r>
    <r>
      <rPr>
        <sz val="12"/>
        <color theme="1"/>
        <rFont val="宋体"/>
        <family val="3"/>
        <charset val="134"/>
        <scheme val="minor"/>
      </rPr>
      <t>年发展缺额（</t>
    </r>
    <r>
      <rPr>
        <sz val="12"/>
        <color theme="1"/>
        <rFont val="宋体"/>
        <family val="3"/>
        <charset val="134"/>
        <scheme val="minor"/>
      </rPr>
      <t>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</si>
  <si>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2035</t>
    </r>
    <r>
      <rPr>
        <sz val="12"/>
        <color theme="1"/>
        <rFont val="宋体"/>
        <family val="3"/>
        <charset val="134"/>
        <scheme val="minor"/>
      </rPr>
      <t>年发展规模学生数测算面积（</t>
    </r>
    <r>
      <rPr>
        <sz val="12"/>
        <color theme="1"/>
        <rFont val="宋体"/>
        <family val="3"/>
        <charset val="134"/>
        <scheme val="minor"/>
      </rPr>
      <t>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</si>
  <si>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2035</t>
    </r>
    <r>
      <rPr>
        <sz val="12"/>
        <color theme="1"/>
        <rFont val="宋体"/>
        <family val="3"/>
        <charset val="134"/>
        <scheme val="minor"/>
      </rPr>
      <t>年发展缺额（</t>
    </r>
    <r>
      <rPr>
        <sz val="12"/>
        <color theme="1"/>
        <rFont val="宋体"/>
        <family val="3"/>
        <charset val="134"/>
        <scheme val="minor"/>
      </rPr>
      <t>m</t>
    </r>
    <r>
      <rPr>
        <vertAlign val="superscript"/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</si>
  <si>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  <scheme val="minor"/>
      </rPr>
      <t>）</t>
    </r>
    <r>
      <rPr>
        <sz val="12"/>
        <color theme="1"/>
        <rFont val="宋体"/>
        <family val="3"/>
        <charset val="134"/>
        <scheme val="minor"/>
      </rPr>
      <t>-</t>
    </r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1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</si>
  <si>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3</t>
    </r>
    <r>
      <rPr>
        <sz val="12"/>
        <color theme="1"/>
        <rFont val="宋体"/>
        <family val="3"/>
        <charset val="134"/>
        <scheme val="minor"/>
      </rPr>
      <t>）</t>
    </r>
    <r>
      <rPr>
        <sz val="12"/>
        <color theme="1"/>
        <rFont val="宋体"/>
        <family val="3"/>
        <charset val="134"/>
        <scheme val="minor"/>
      </rPr>
      <t>-</t>
    </r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1</t>
    </r>
    <r>
      <rPr>
        <sz val="12"/>
        <color theme="1"/>
        <rFont val="宋体"/>
        <family val="3"/>
        <charset val="134"/>
        <scheme val="minor"/>
      </rPr>
      <t>）</t>
    </r>
  </si>
  <si>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4</t>
    </r>
    <r>
      <rPr>
        <sz val="12"/>
        <color theme="1"/>
        <rFont val="宋体"/>
        <family val="3"/>
        <charset val="134"/>
        <scheme val="minor"/>
      </rPr>
      <t>）</t>
    </r>
    <r>
      <rPr>
        <sz val="12"/>
        <color theme="1"/>
        <rFont val="宋体"/>
        <family val="3"/>
        <charset val="134"/>
        <scheme val="minor"/>
      </rPr>
      <t>-</t>
    </r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1</t>
    </r>
    <r>
      <rPr>
        <sz val="12"/>
        <color theme="1"/>
        <rFont val="宋体"/>
        <family val="3"/>
        <charset val="134"/>
        <scheme val="minor"/>
      </rPr>
      <t>）</t>
    </r>
  </si>
  <si>
    <t>学生规模测算建筑面积总缺额(含补助)</t>
  </si>
  <si>
    <t>备注：面积测算依据为《市属高校建筑规划面积标准》。</t>
  </si>
  <si>
    <t>在校生规模（人）</t>
  </si>
  <si>
    <t>自然规模人数合计</t>
  </si>
  <si>
    <t>专科生</t>
  </si>
  <si>
    <t>本科生</t>
  </si>
  <si>
    <t>硕士研究生（全日制）</t>
  </si>
  <si>
    <t>博士研究生（全日制）</t>
  </si>
  <si>
    <t>本科留学生</t>
  </si>
  <si>
    <t>硕士留学生</t>
  </si>
  <si>
    <t>博士留学生</t>
  </si>
  <si>
    <t>备注：</t>
  </si>
  <si>
    <r>
      <rPr>
        <sz val="12"/>
        <color theme="1"/>
        <rFont val="宋体"/>
        <family val="3"/>
        <charset val="134"/>
        <scheme val="minor"/>
      </rPr>
      <t>现状规模</t>
    </r>
    <r>
      <rPr>
        <sz val="12"/>
        <color theme="1"/>
        <rFont val="宋体"/>
        <family val="3"/>
        <charset val="134"/>
        <scheme val="minor"/>
      </rPr>
      <t xml:space="preserve">         
</t>
    </r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2024</t>
    </r>
    <r>
      <rPr>
        <sz val="12"/>
        <color theme="1"/>
        <rFont val="宋体"/>
        <family val="3"/>
        <charset val="134"/>
        <scheme val="minor"/>
      </rPr>
      <t>年事业统计）</t>
    </r>
  </si>
  <si>
    <t>为应填数据</t>
  </si>
  <si>
    <r>
      <rPr>
        <sz val="12"/>
        <color theme="1"/>
        <rFont val="宋体"/>
        <family val="3"/>
        <charset val="134"/>
        <scheme val="minor"/>
      </rPr>
      <t>近期发展规模</t>
    </r>
    <r>
      <rPr>
        <sz val="12"/>
        <color theme="1"/>
        <rFont val="宋体"/>
        <family val="3"/>
        <charset val="134"/>
        <scheme val="minor"/>
      </rPr>
      <t xml:space="preserve">      
</t>
    </r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2030</t>
    </r>
    <r>
      <rPr>
        <sz val="12"/>
        <color theme="1"/>
        <rFont val="宋体"/>
        <family val="3"/>
        <charset val="134"/>
        <scheme val="minor"/>
      </rPr>
      <t>年）</t>
    </r>
  </si>
  <si>
    <t>为测算结果</t>
  </si>
  <si>
    <r>
      <rPr>
        <sz val="12"/>
        <color theme="1"/>
        <rFont val="宋体"/>
        <family val="3"/>
        <charset val="134"/>
        <scheme val="minor"/>
      </rPr>
      <t>远期发展规模</t>
    </r>
    <r>
      <rPr>
        <sz val="12"/>
        <color theme="1"/>
        <rFont val="宋体"/>
        <family val="3"/>
        <charset val="134"/>
        <scheme val="minor"/>
      </rPr>
      <t xml:space="preserve">                </t>
    </r>
    <r>
      <rPr>
        <sz val="12"/>
        <color theme="1"/>
        <rFont val="宋体"/>
        <family val="3"/>
        <charset val="134"/>
        <scheme val="minor"/>
      </rPr>
      <t>（</t>
    </r>
    <r>
      <rPr>
        <sz val="12"/>
        <color theme="1"/>
        <rFont val="宋体"/>
        <family val="3"/>
        <charset val="134"/>
        <scheme val="minor"/>
      </rPr>
      <t>2035</t>
    </r>
    <r>
      <rPr>
        <sz val="12"/>
        <color theme="1"/>
        <rFont val="宋体"/>
        <family val="3"/>
        <charset val="134"/>
        <scheme val="minor"/>
      </rPr>
      <t>年）</t>
    </r>
  </si>
  <si>
    <t>红字</t>
  </si>
  <si>
    <t>为系数</t>
  </si>
  <si>
    <t>补助项目名称</t>
  </si>
  <si>
    <t>补助建筑面积（m²）</t>
  </si>
  <si>
    <t>图书馆改造</t>
  </si>
  <si>
    <t>体育设施建设</t>
  </si>
  <si>
    <t>上海师范大学</t>
  </si>
  <si>
    <t>Secms&amp;Measure@06</t>
  </si>
  <si>
    <t>师范院校</t>
  </si>
  <si>
    <t>上海旅游高等专科学校</t>
  </si>
  <si>
    <t>Secms&amp;Measure@23</t>
  </si>
  <si>
    <t>上海理工大学</t>
  </si>
  <si>
    <t>Secms&amp;Measure@02</t>
  </si>
  <si>
    <t>理工院校</t>
  </si>
  <si>
    <t>上海海事大学</t>
  </si>
  <si>
    <t>Secms&amp;Measure@03</t>
  </si>
  <si>
    <t>上海海洋大学</t>
  </si>
  <si>
    <t>Secms&amp;Measure@04</t>
  </si>
  <si>
    <t>上海工程技术大学</t>
  </si>
  <si>
    <t>Secms&amp;Measure@09</t>
  </si>
  <si>
    <t>上海电力大学</t>
  </si>
  <si>
    <t>Secms&amp;Measure@10</t>
  </si>
  <si>
    <t>上海应用技术大学</t>
  </si>
  <si>
    <t>Secms&amp;Measure@11</t>
  </si>
  <si>
    <t>上海科技大学</t>
  </si>
  <si>
    <t>Secms&amp;Measure@12</t>
  </si>
  <si>
    <t>上海第二工业大学</t>
  </si>
  <si>
    <t>Secms&amp;Measure@13</t>
  </si>
  <si>
    <t>上海电机学院</t>
  </si>
  <si>
    <t>Secms&amp;Measure@19</t>
  </si>
  <si>
    <t>上海出版印刷高等专科学校</t>
  </si>
  <si>
    <t>Secms&amp;Measure@24</t>
  </si>
  <si>
    <t>上海城建职业学院</t>
  </si>
  <si>
    <t>Secms&amp;Measure@25</t>
  </si>
  <si>
    <t>上海电子信息职业技术学院</t>
  </si>
  <si>
    <t>Secms&amp;Measure@26</t>
  </si>
  <si>
    <t>上海工艺美术职业学院</t>
  </si>
  <si>
    <t>Secms&amp;Measure@27</t>
  </si>
  <si>
    <t>上海中医药大学</t>
  </si>
  <si>
    <t>医药院校</t>
  </si>
  <si>
    <t>上海健康医学院</t>
  </si>
  <si>
    <t>Secms&amp;Measure@14</t>
  </si>
  <si>
    <t>上海交通大学医学院</t>
  </si>
  <si>
    <t>Secms&amp;Measure@22</t>
  </si>
  <si>
    <t>上海健康医学院附属卫生学校(上海健康护理职业学院(筹))</t>
  </si>
  <si>
    <t>Secms&amp;Measure@29</t>
  </si>
  <si>
    <t>上海农林职业技术学院</t>
  </si>
  <si>
    <t>Secms&amp;Measure@28</t>
  </si>
  <si>
    <t>农业院校</t>
  </si>
  <si>
    <t>华东政法大学</t>
  </si>
  <si>
    <t>Secms&amp;Measure@08</t>
  </si>
  <si>
    <t>政法院校</t>
  </si>
  <si>
    <t>上海政法学院</t>
  </si>
  <si>
    <t>Secms&amp;Measure@20</t>
  </si>
  <si>
    <t>上海对外经贸大学</t>
  </si>
  <si>
    <t>Secms&amp;Measure@07</t>
  </si>
  <si>
    <t>财经院校</t>
  </si>
  <si>
    <t>上海立信会计金融学院</t>
  </si>
  <si>
    <t>Secms&amp;Measure@18</t>
  </si>
  <si>
    <t>上海商学院</t>
  </si>
  <si>
    <t>Secms&amp;Measure@21</t>
  </si>
  <si>
    <t>上海体育学院</t>
  </si>
  <si>
    <t>Secms&amp;Measure@15</t>
  </si>
  <si>
    <t>体育院校</t>
  </si>
  <si>
    <t>上海音乐学院</t>
  </si>
  <si>
    <t>Secms&amp;Measure@16</t>
  </si>
  <si>
    <t>艺术院校</t>
  </si>
  <si>
    <t>上海戏剧学院</t>
  </si>
  <si>
    <t>Secms&amp;Measure@17</t>
  </si>
  <si>
    <t>上海市教育基建事务管理中心</t>
  </si>
  <si>
    <t>Secms&amp;Measure@jjzx</t>
  </si>
  <si>
    <t>学校名称：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</si>
</sst>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80" formatCode="0_);\(0\)"/>
    <numFmt numFmtId="181" formatCode="0_ "/>
    <numFmt numFmtId="182" formatCode="0.00_ "/>
  </numFmts>
  <fonts count="19">
    <font>
      <sz val="11"/>
      <color theme="1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00206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6"/>
      <color theme="1"/>
      <name val="Microsoft YaHei"/>
      <family val="2"/>
      <charset val="134"/>
    </font>
    <font>
      <sz val="12"/>
      <color theme="1"/>
      <name val="宋体"/>
      <family val="3"/>
      <charset val="134"/>
      <scheme val="minor"/>
    </font>
    <font>
      <sz val="12"/>
      <color rgb="FF00206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rgb="FF191B1F"/>
      <name val="Arial"/>
      <family val="2"/>
    </font>
    <font>
      <sz val="12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20"/>
      <color rgb="FFFF0000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sz val="24"/>
      <color theme="1"/>
      <name val="宋体"/>
      <family val="3"/>
      <charset val="134"/>
      <scheme val="minor"/>
    </font>
    <font>
      <sz val="10"/>
      <color theme="1"/>
      <name val="Microsoft YaHei"/>
      <family val="2"/>
      <charset val="134"/>
    </font>
    <font>
      <sz val="10"/>
      <color rgb="FF191B1F"/>
      <name val="Arial"/>
      <family val="2"/>
    </font>
    <font>
      <vertAlign val="superscript"/>
      <sz val="12"/>
      <color theme="1"/>
      <name val="宋体"/>
      <family val="3"/>
      <charset val="134"/>
      <scheme val="minor"/>
    </font>
    <font>
      <vertAlign val="superscript"/>
      <sz val="12"/>
      <color rgb="FF00206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Down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80" fontId="7" fillId="0" borderId="2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2" borderId="2" xfId="0" applyFont="1" applyFill="1" applyBorder="1">
      <alignment vertical="center"/>
    </xf>
    <xf numFmtId="0" fontId="5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>
      <alignment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80" fontId="5" fillId="0" borderId="2" xfId="0" applyNumberFormat="1" applyFont="1" applyBorder="1" applyAlignment="1">
      <alignment horizontal="center" vertical="center" wrapText="1"/>
    </xf>
    <xf numFmtId="181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3" xfId="0" applyFont="1" applyBorder="1">
      <alignment vertical="center"/>
    </xf>
    <xf numFmtId="0" fontId="5" fillId="0" borderId="24" xfId="0" applyFont="1" applyBorder="1" applyAlignment="1">
      <alignment horizontal="center" vertical="center"/>
    </xf>
    <xf numFmtId="0" fontId="10" fillId="2" borderId="12" xfId="0" applyFont="1" applyFill="1" applyBorder="1">
      <alignment vertical="center"/>
    </xf>
    <xf numFmtId="0" fontId="10" fillId="3" borderId="12" xfId="0" applyFont="1" applyFill="1" applyBorder="1">
      <alignment vertical="center"/>
    </xf>
    <xf numFmtId="0" fontId="11" fillId="0" borderId="2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1" fillId="0" borderId="24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13" fillId="0" borderId="1" xfId="0" applyFont="1" applyBorder="1">
      <alignment vertical="center"/>
    </xf>
    <xf numFmtId="0" fontId="14" fillId="0" borderId="2" xfId="0" applyFont="1" applyBorder="1" applyAlignment="1">
      <alignment horizontal="center" vertical="center" wrapText="1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24" xfId="0" applyBorder="1">
      <alignment vertical="center"/>
    </xf>
    <xf numFmtId="182" fontId="7" fillId="2" borderId="2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28" zoomScale="73" zoomScaleNormal="73" workbookViewId="0">
      <selection activeCell="J50" sqref="J50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</v>
      </c>
      <c r="C1" s="70"/>
      <c r="D1" s="70" t="s">
        <v>2</v>
      </c>
      <c r="E1" s="70" t="s">
        <v>3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24</v>
      </c>
      <c r="E4" s="39" t="s">
        <v>25</v>
      </c>
      <c r="F4" s="40">
        <v>12.95</v>
      </c>
      <c r="G4" s="101">
        <f>B43</f>
        <v>247028</v>
      </c>
      <c r="H4" s="38">
        <f>F4*G4</f>
        <v>3199012.6</v>
      </c>
      <c r="I4" s="45">
        <v>3</v>
      </c>
      <c r="J4" s="101">
        <f>E43</f>
        <v>24567</v>
      </c>
      <c r="K4" s="38">
        <f>I4*J4</f>
        <v>73701</v>
      </c>
      <c r="L4" s="45">
        <v>3</v>
      </c>
      <c r="M4" s="101">
        <f>F43</f>
        <v>6789</v>
      </c>
      <c r="N4" s="38">
        <f>L4*M4</f>
        <v>20367</v>
      </c>
      <c r="O4" s="46">
        <v>3</v>
      </c>
      <c r="P4" s="101">
        <f>H43</f>
        <v>245</v>
      </c>
      <c r="Q4" s="38">
        <f>O4*P4</f>
        <v>735</v>
      </c>
      <c r="R4" s="46">
        <v>3</v>
      </c>
      <c r="S4" s="101">
        <f>I43</f>
        <v>255</v>
      </c>
      <c r="T4" s="38">
        <f>R4*S4</f>
        <v>765</v>
      </c>
      <c r="U4" s="46">
        <v>0</v>
      </c>
      <c r="V4" s="101">
        <f>SUM(G43:I43)</f>
        <v>760</v>
      </c>
      <c r="W4" s="38">
        <v>0</v>
      </c>
      <c r="X4" s="62">
        <f t="shared" ref="X4:X7" si="0">T4+Q4+N4+K4+H4</f>
        <v>3294580.6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494056</v>
      </c>
      <c r="I5" s="45">
        <v>2</v>
      </c>
      <c r="J5" s="102"/>
      <c r="K5" s="38">
        <f>I5*J4</f>
        <v>49134</v>
      </c>
      <c r="L5" s="45">
        <v>2</v>
      </c>
      <c r="M5" s="102"/>
      <c r="N5" s="38">
        <f>L5*M4</f>
        <v>13578</v>
      </c>
      <c r="O5" s="40">
        <v>2</v>
      </c>
      <c r="P5" s="102"/>
      <c r="Q5" s="38">
        <f>O5*P4</f>
        <v>490</v>
      </c>
      <c r="R5" s="40">
        <v>2</v>
      </c>
      <c r="S5" s="102"/>
      <c r="T5" s="38">
        <f>R5*S4</f>
        <v>510</v>
      </c>
      <c r="U5" s="40">
        <v>0</v>
      </c>
      <c r="V5" s="102"/>
      <c r="W5" s="38">
        <v>0</v>
      </c>
      <c r="X5" s="62">
        <f t="shared" si="0"/>
        <v>557768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2470280</v>
      </c>
      <c r="I7" s="45">
        <v>5</v>
      </c>
      <c r="J7" s="102"/>
      <c r="K7" s="38">
        <f>I7*J4</f>
        <v>122835</v>
      </c>
      <c r="L7" s="45">
        <v>14</v>
      </c>
      <c r="M7" s="102"/>
      <c r="N7" s="38">
        <f>L7*M4</f>
        <v>95046</v>
      </c>
      <c r="O7" s="40">
        <v>5</v>
      </c>
      <c r="P7" s="102"/>
      <c r="Q7" s="38">
        <f>O7*P4</f>
        <v>1225</v>
      </c>
      <c r="R7" s="40">
        <v>14</v>
      </c>
      <c r="S7" s="102"/>
      <c r="T7" s="38">
        <f>R7*S4</f>
        <v>3570</v>
      </c>
      <c r="U7" s="40">
        <v>0</v>
      </c>
      <c r="V7" s="102"/>
      <c r="W7" s="38">
        <v>0</v>
      </c>
      <c r="X7" s="62">
        <f t="shared" si="0"/>
        <v>2692956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494056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14440</v>
      </c>
      <c r="X8" s="62">
        <f>T8+Q8+N8+K8+H8+W8</f>
        <v>508496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382893.4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382893.4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16.5</v>
      </c>
      <c r="G10" s="103"/>
      <c r="H10" s="41">
        <f t="shared" ref="H10:L10" si="2">SUM(H4:H9)</f>
        <v>7040298</v>
      </c>
      <c r="I10" s="41">
        <f t="shared" si="2"/>
        <v>10</v>
      </c>
      <c r="J10" s="103"/>
      <c r="K10" s="41">
        <f t="shared" si="2"/>
        <v>245670</v>
      </c>
      <c r="L10" s="41">
        <f t="shared" si="2"/>
        <v>19</v>
      </c>
      <c r="M10" s="103"/>
      <c r="N10" s="41">
        <f t="shared" ref="N10:R10" si="3">SUM(N4:N9)</f>
        <v>128991</v>
      </c>
      <c r="O10" s="41">
        <f t="shared" si="3"/>
        <v>10</v>
      </c>
      <c r="P10" s="103"/>
      <c r="Q10" s="41">
        <f t="shared" si="3"/>
        <v>2450</v>
      </c>
      <c r="R10" s="41">
        <f t="shared" si="3"/>
        <v>19</v>
      </c>
      <c r="S10" s="103"/>
      <c r="T10" s="41">
        <f t="shared" ref="T10:W10" si="4">SUM(T4:T9)</f>
        <v>4845</v>
      </c>
      <c r="U10" s="41">
        <f t="shared" si="4"/>
        <v>19</v>
      </c>
      <c r="V10" s="103"/>
      <c r="W10" s="41">
        <f t="shared" si="4"/>
        <v>14440</v>
      </c>
      <c r="X10" s="63">
        <f>T10+Q10+N10+K10+H10+W10</f>
        <v>7436694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24</v>
      </c>
      <c r="E12" s="39" t="s">
        <v>25</v>
      </c>
      <c r="F12" s="40">
        <v>12.95</v>
      </c>
      <c r="G12" s="101">
        <f>B44</f>
        <v>266310</v>
      </c>
      <c r="H12" s="38">
        <f>F12*G12</f>
        <v>3448714.5</v>
      </c>
      <c r="I12" s="46">
        <v>3</v>
      </c>
      <c r="J12" s="101">
        <f>E44</f>
        <v>23789</v>
      </c>
      <c r="K12" s="38">
        <f>I12*J12</f>
        <v>71367</v>
      </c>
      <c r="L12" s="46">
        <v>3</v>
      </c>
      <c r="M12" s="101">
        <f>F44</f>
        <v>6543</v>
      </c>
      <c r="N12" s="38">
        <f>L12*M12</f>
        <v>19629</v>
      </c>
      <c r="O12" s="46">
        <v>3</v>
      </c>
      <c r="P12" s="101">
        <f>H44</f>
        <v>238</v>
      </c>
      <c r="Q12" s="38">
        <f>O12*P12</f>
        <v>714</v>
      </c>
      <c r="R12" s="46">
        <v>3</v>
      </c>
      <c r="S12" s="101">
        <f>I44</f>
        <v>250</v>
      </c>
      <c r="T12" s="38">
        <f>R12*S12</f>
        <v>750</v>
      </c>
      <c r="U12" s="46">
        <v>0</v>
      </c>
      <c r="V12" s="101">
        <f>SUM(G44:I44)</f>
        <v>743</v>
      </c>
      <c r="W12" s="38">
        <v>0</v>
      </c>
      <c r="X12" s="62">
        <f t="shared" si="1"/>
        <v>3541174.5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532620</v>
      </c>
      <c r="I13" s="40">
        <v>2</v>
      </c>
      <c r="J13" s="102"/>
      <c r="K13" s="38">
        <f>I13*J12</f>
        <v>47578</v>
      </c>
      <c r="L13" s="40">
        <v>2</v>
      </c>
      <c r="M13" s="102"/>
      <c r="N13" s="38">
        <f>L13*M12</f>
        <v>13086</v>
      </c>
      <c r="O13" s="40">
        <v>2</v>
      </c>
      <c r="P13" s="102"/>
      <c r="Q13" s="38">
        <f>O13*P12</f>
        <v>476</v>
      </c>
      <c r="R13" s="40">
        <v>2</v>
      </c>
      <c r="S13" s="102"/>
      <c r="T13" s="38">
        <f>R13*S12</f>
        <v>500</v>
      </c>
      <c r="U13" s="40">
        <v>0</v>
      </c>
      <c r="V13" s="102"/>
      <c r="W13" s="38">
        <v>0</v>
      </c>
      <c r="X13" s="62">
        <f t="shared" si="1"/>
        <v>594260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2663100</v>
      </c>
      <c r="I15" s="40">
        <v>5</v>
      </c>
      <c r="J15" s="102"/>
      <c r="K15" s="38">
        <f>I15*J12</f>
        <v>118945</v>
      </c>
      <c r="L15" s="40">
        <v>14</v>
      </c>
      <c r="M15" s="102"/>
      <c r="N15" s="38">
        <f>L15*M12</f>
        <v>91602</v>
      </c>
      <c r="O15" s="40">
        <v>5</v>
      </c>
      <c r="P15" s="102"/>
      <c r="Q15" s="38">
        <f>O15*P12</f>
        <v>1190</v>
      </c>
      <c r="R15" s="40">
        <v>14</v>
      </c>
      <c r="S15" s="102"/>
      <c r="T15" s="38">
        <f>R15*S12</f>
        <v>3500</v>
      </c>
      <c r="U15" s="40">
        <v>0</v>
      </c>
      <c r="V15" s="102"/>
      <c r="W15" s="38">
        <v>0</v>
      </c>
      <c r="X15" s="62">
        <f t="shared" si="1"/>
        <v>2878337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532620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14117</v>
      </c>
      <c r="X16" s="62">
        <f>T16+Q16+N16+K16+H16+W16</f>
        <v>546737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412780.5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412780.5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16.5</v>
      </c>
      <c r="G18" s="103"/>
      <c r="H18" s="41">
        <f t="shared" ref="H18:L18" si="6">SUM(H12:H17)</f>
        <v>7589835</v>
      </c>
      <c r="I18" s="41">
        <f t="shared" si="6"/>
        <v>10</v>
      </c>
      <c r="J18" s="103"/>
      <c r="K18" s="41">
        <f t="shared" si="6"/>
        <v>237890</v>
      </c>
      <c r="L18" s="41">
        <f t="shared" si="6"/>
        <v>19</v>
      </c>
      <c r="M18" s="103"/>
      <c r="N18" s="41">
        <f t="shared" ref="N18:R18" si="7">SUM(N12:N17)</f>
        <v>124317</v>
      </c>
      <c r="O18" s="41">
        <f t="shared" si="7"/>
        <v>10</v>
      </c>
      <c r="P18" s="103"/>
      <c r="Q18" s="41">
        <f t="shared" si="7"/>
        <v>2380</v>
      </c>
      <c r="R18" s="41">
        <f t="shared" si="7"/>
        <v>19</v>
      </c>
      <c r="S18" s="103"/>
      <c r="T18" s="41">
        <f t="shared" ref="T18:W18" si="8">SUM(T12:T17)</f>
        <v>4750</v>
      </c>
      <c r="U18" s="41">
        <f t="shared" si="8"/>
        <v>19</v>
      </c>
      <c r="V18" s="103"/>
      <c r="W18" s="41">
        <f t="shared" si="8"/>
        <v>14117</v>
      </c>
      <c r="X18" s="63">
        <f>T18+Q18+N18+K18+H18+W18</f>
        <v>7973289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24</v>
      </c>
      <c r="E20" s="39" t="s">
        <v>25</v>
      </c>
      <c r="F20" s="40">
        <v>12.95</v>
      </c>
      <c r="G20" s="101">
        <f>B45</f>
        <v>252708</v>
      </c>
      <c r="H20" s="38">
        <f>F20*G20</f>
        <v>3272568.6</v>
      </c>
      <c r="I20" s="46">
        <v>3</v>
      </c>
      <c r="J20" s="101">
        <f>E45</f>
        <v>22901</v>
      </c>
      <c r="K20" s="38">
        <f>I20*J20</f>
        <v>68703</v>
      </c>
      <c r="L20" s="46">
        <v>3</v>
      </c>
      <c r="M20" s="101">
        <f>F45</f>
        <v>6305</v>
      </c>
      <c r="N20" s="38">
        <f>L20*M20</f>
        <v>18915</v>
      </c>
      <c r="O20" s="46">
        <v>3</v>
      </c>
      <c r="P20" s="101">
        <f>H45</f>
        <v>230</v>
      </c>
      <c r="Q20" s="38">
        <f>O20*P20</f>
        <v>690</v>
      </c>
      <c r="R20" s="46">
        <v>3</v>
      </c>
      <c r="S20" s="101">
        <f>I45</f>
        <v>245</v>
      </c>
      <c r="T20" s="38">
        <f>R20*S20</f>
        <v>735</v>
      </c>
      <c r="U20" s="46">
        <v>0</v>
      </c>
      <c r="V20" s="101">
        <f>SUM((G45:I45))</f>
        <v>725</v>
      </c>
      <c r="W20" s="38">
        <v>0</v>
      </c>
      <c r="X20" s="62">
        <f t="shared" si="5"/>
        <v>3361611.6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505416</v>
      </c>
      <c r="I21" s="40">
        <v>2</v>
      </c>
      <c r="J21" s="102"/>
      <c r="K21" s="38">
        <f>I21*J20</f>
        <v>45802</v>
      </c>
      <c r="L21" s="40">
        <v>2</v>
      </c>
      <c r="M21" s="102"/>
      <c r="N21" s="38">
        <f>L21*M20</f>
        <v>12610</v>
      </c>
      <c r="O21" s="40">
        <v>2</v>
      </c>
      <c r="P21" s="102"/>
      <c r="Q21" s="38">
        <f>O21*P20</f>
        <v>460</v>
      </c>
      <c r="R21" s="40">
        <v>2</v>
      </c>
      <c r="S21" s="102"/>
      <c r="T21" s="38">
        <f>R21*S20</f>
        <v>490</v>
      </c>
      <c r="U21" s="40">
        <v>0</v>
      </c>
      <c r="V21" s="102"/>
      <c r="W21" s="38">
        <v>0</v>
      </c>
      <c r="X21" s="62">
        <f t="shared" si="5"/>
        <v>564778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2527080</v>
      </c>
      <c r="I23" s="40">
        <v>5</v>
      </c>
      <c r="J23" s="102"/>
      <c r="K23" s="38">
        <f>I23*J20</f>
        <v>114505</v>
      </c>
      <c r="L23" s="40">
        <v>14</v>
      </c>
      <c r="M23" s="102"/>
      <c r="N23" s="38">
        <f>L23*M20</f>
        <v>88270</v>
      </c>
      <c r="O23" s="40">
        <v>5</v>
      </c>
      <c r="P23" s="102"/>
      <c r="Q23" s="38">
        <f>O23*P20</f>
        <v>1150</v>
      </c>
      <c r="R23" s="40">
        <v>14</v>
      </c>
      <c r="S23" s="102"/>
      <c r="T23" s="38">
        <f>R23*S20</f>
        <v>3430</v>
      </c>
      <c r="U23" s="40">
        <v>0</v>
      </c>
      <c r="V23" s="102"/>
      <c r="W23" s="38">
        <v>0</v>
      </c>
      <c r="X23" s="62">
        <f t="shared" si="5"/>
        <v>2734435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505416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13775</v>
      </c>
      <c r="X24" s="62">
        <f>T24+Q24+N24+K24+H24+W24</f>
        <v>519191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391697.4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391697.4</v>
      </c>
      <c r="Y25" s="36"/>
      <c r="Z25" s="36"/>
    </row>
    <row r="26" spans="1:26" s="2" customFormat="1" ht="16">
      <c r="A26" s="115"/>
      <c r="B26" s="116"/>
      <c r="C26" s="96"/>
      <c r="D26" s="100"/>
      <c r="E26" s="13" t="s">
        <v>31</v>
      </c>
      <c r="F26" s="43">
        <f>F20+F21+F22+F25</f>
        <v>16.5</v>
      </c>
      <c r="G26" s="104"/>
      <c r="H26" s="43">
        <f t="shared" ref="H26:L26" si="9">SUM(H20:H25)</f>
        <v>7202178</v>
      </c>
      <c r="I26" s="43">
        <f t="shared" si="9"/>
        <v>10</v>
      </c>
      <c r="J26" s="104"/>
      <c r="K26" s="43">
        <f t="shared" si="9"/>
        <v>229010</v>
      </c>
      <c r="L26" s="43">
        <f t="shared" si="9"/>
        <v>19</v>
      </c>
      <c r="M26" s="104"/>
      <c r="N26" s="43">
        <f t="shared" ref="N26:R26" si="10">SUM(N20:N25)</f>
        <v>119795</v>
      </c>
      <c r="O26" s="43">
        <f t="shared" si="10"/>
        <v>10</v>
      </c>
      <c r="P26" s="104"/>
      <c r="Q26" s="43">
        <f t="shared" si="10"/>
        <v>2300</v>
      </c>
      <c r="R26" s="43">
        <f t="shared" si="10"/>
        <v>19</v>
      </c>
      <c r="S26" s="104"/>
      <c r="T26" s="43">
        <f t="shared" ref="T26:W26" si="11">SUM(T20:T25)</f>
        <v>4655</v>
      </c>
      <c r="U26" s="43">
        <f t="shared" si="11"/>
        <v>19</v>
      </c>
      <c r="V26" s="104"/>
      <c r="W26" s="43">
        <f t="shared" si="11"/>
        <v>13775</v>
      </c>
      <c r="X26" s="65">
        <f>T26+Q26+N26+K26+H26+W26</f>
        <v>7571713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350217.43</v>
      </c>
      <c r="E31" s="22">
        <f t="shared" ref="E31:E34" si="12">X4</f>
        <v>3294580.6</v>
      </c>
      <c r="F31" s="22">
        <f t="shared" ref="F31:F34" si="13">E31-D31</f>
        <v>2944363.17</v>
      </c>
      <c r="G31" s="22">
        <f t="shared" ref="G31:G34" si="14">X12</f>
        <v>3541174.5</v>
      </c>
      <c r="H31" s="22">
        <f t="shared" ref="H31:H34" si="15">G31-D31</f>
        <v>3190957.07</v>
      </c>
      <c r="I31" s="22">
        <f t="shared" ref="I31:I34" si="16">X20</f>
        <v>3361611.6</v>
      </c>
      <c r="J31" s="50">
        <f t="shared" ref="J31:J34" si="17">I31-D31</f>
        <v>3011394.17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68743.92</v>
      </c>
      <c r="E32" s="22">
        <f t="shared" si="12"/>
        <v>557768</v>
      </c>
      <c r="F32" s="22">
        <f t="shared" si="13"/>
        <v>489024.08</v>
      </c>
      <c r="G32" s="22">
        <f t="shared" si="14"/>
        <v>594260</v>
      </c>
      <c r="H32" s="22">
        <f t="shared" si="15"/>
        <v>525516.07999999996</v>
      </c>
      <c r="I32" s="22">
        <f t="shared" si="16"/>
        <v>564778</v>
      </c>
      <c r="J32" s="50">
        <f t="shared" si="17"/>
        <v>496034.08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316428.57</v>
      </c>
      <c r="E33" s="22">
        <f>X7+X8</f>
        <v>3201452</v>
      </c>
      <c r="F33" s="22">
        <f t="shared" si="13"/>
        <v>2885023.43</v>
      </c>
      <c r="G33" s="22">
        <f>X15+X16</f>
        <v>3425074</v>
      </c>
      <c r="H33" s="22">
        <f t="shared" si="15"/>
        <v>3108645.43</v>
      </c>
      <c r="I33" s="22">
        <f>X23+X24</f>
        <v>3253626</v>
      </c>
      <c r="J33" s="50">
        <f t="shared" si="17"/>
        <v>2937197.43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293770.15000000002</v>
      </c>
      <c r="E34" s="22">
        <f t="shared" si="12"/>
        <v>2692956</v>
      </c>
      <c r="F34" s="22">
        <f t="shared" si="13"/>
        <v>2399185.85</v>
      </c>
      <c r="G34" s="22">
        <f t="shared" si="14"/>
        <v>2878337</v>
      </c>
      <c r="H34" s="22">
        <f t="shared" si="15"/>
        <v>2584566.85</v>
      </c>
      <c r="I34" s="22">
        <f t="shared" si="16"/>
        <v>2734435</v>
      </c>
      <c r="J34" s="50">
        <f t="shared" si="17"/>
        <v>2440664.85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22658.42</v>
      </c>
      <c r="E35" s="22">
        <f t="shared" si="18"/>
        <v>508496</v>
      </c>
      <c r="F35" s="22">
        <f t="shared" si="18"/>
        <v>485837.58</v>
      </c>
      <c r="G35" s="22">
        <f t="shared" si="18"/>
        <v>546737</v>
      </c>
      <c r="H35" s="22">
        <f t="shared" si="18"/>
        <v>524078.58</v>
      </c>
      <c r="I35" s="22">
        <f t="shared" si="18"/>
        <v>519191</v>
      </c>
      <c r="J35" s="50">
        <f t="shared" si="18"/>
        <v>496532.58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2189.12</v>
      </c>
      <c r="E36" s="22">
        <f>X9</f>
        <v>382893.4</v>
      </c>
      <c r="F36" s="22">
        <f>E36-D36</f>
        <v>380704.28</v>
      </c>
      <c r="G36" s="22">
        <f>X17</f>
        <v>412780.5</v>
      </c>
      <c r="H36" s="22">
        <f>G36-D36</f>
        <v>410591.38</v>
      </c>
      <c r="I36" s="22">
        <f>X25</f>
        <v>391697.4</v>
      </c>
      <c r="J36" s="50">
        <f>I36-D36</f>
        <v>389508.28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737579.04</v>
      </c>
      <c r="E37" s="22">
        <f>X10</f>
        <v>7436694</v>
      </c>
      <c r="F37" s="22">
        <f>E37-D37</f>
        <v>6699114.96</v>
      </c>
      <c r="G37" s="22">
        <f>X18</f>
        <v>7973289</v>
      </c>
      <c r="H37" s="22">
        <f>G37-D37</f>
        <v>7235709.96</v>
      </c>
      <c r="I37" s="22">
        <f>X26</f>
        <v>7571713</v>
      </c>
      <c r="J37" s="50">
        <f>I37-D37</f>
        <v>6834133.96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6766266.96</v>
      </c>
      <c r="G38" s="18"/>
      <c r="H38" s="22">
        <f>H37+C48+C49</f>
        <v>7302861.96</v>
      </c>
      <c r="I38" s="18"/>
      <c r="J38" s="50">
        <f>J37+C48+C49</f>
        <v>6901285.96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247028</v>
      </c>
      <c r="C43" s="21">
        <v>25678</v>
      </c>
      <c r="D43" s="25">
        <v>189234</v>
      </c>
      <c r="E43" s="21">
        <v>24567</v>
      </c>
      <c r="F43" s="21">
        <v>6789</v>
      </c>
      <c r="G43" s="21">
        <v>260</v>
      </c>
      <c r="H43" s="21">
        <v>245</v>
      </c>
      <c r="I43" s="52">
        <v>255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266310</v>
      </c>
      <c r="C44" s="21">
        <v>24890</v>
      </c>
      <c r="D44" s="25">
        <v>210345</v>
      </c>
      <c r="E44" s="21">
        <v>23789</v>
      </c>
      <c r="F44" s="21">
        <v>6543</v>
      </c>
      <c r="G44" s="21">
        <v>255</v>
      </c>
      <c r="H44" s="21">
        <v>238</v>
      </c>
      <c r="I44" s="52">
        <v>250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252708</v>
      </c>
      <c r="C45" s="28">
        <v>24012</v>
      </c>
      <c r="D45" s="29">
        <v>198765</v>
      </c>
      <c r="E45" s="28">
        <v>22901</v>
      </c>
      <c r="F45" s="28">
        <v>6305</v>
      </c>
      <c r="G45" s="28">
        <v>250</v>
      </c>
      <c r="H45" s="28">
        <v>230</v>
      </c>
      <c r="I45" s="53">
        <v>245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38724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28428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5"/>
  <sheetViews>
    <sheetView zoomScale="60" zoomScaleNormal="60" workbookViewId="0">
      <selection activeCell="M37" sqref="M37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67</v>
      </c>
      <c r="C1" s="70"/>
      <c r="D1" s="70" t="s">
        <v>2</v>
      </c>
      <c r="E1" s="70" t="s">
        <v>68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69</v>
      </c>
      <c r="E4" s="39" t="s">
        <v>25</v>
      </c>
      <c r="F4" s="40">
        <v>12.95</v>
      </c>
      <c r="G4" s="101">
        <f>B43</f>
        <v>251999</v>
      </c>
      <c r="H4" s="38">
        <f>F4*G4</f>
        <v>3263387.05</v>
      </c>
      <c r="I4" s="45">
        <v>3</v>
      </c>
      <c r="J4" s="101">
        <f>E43</f>
        <v>6657</v>
      </c>
      <c r="K4" s="38">
        <f>I4*J4</f>
        <v>19971</v>
      </c>
      <c r="L4" s="45">
        <v>3</v>
      </c>
      <c r="M4" s="101">
        <f>F43</f>
        <v>260</v>
      </c>
      <c r="N4" s="38">
        <f>L4*M4</f>
        <v>780</v>
      </c>
      <c r="O4" s="46">
        <v>3</v>
      </c>
      <c r="P4" s="101">
        <f>H43</f>
        <v>250</v>
      </c>
      <c r="Q4" s="38">
        <f>O4*P4</f>
        <v>750</v>
      </c>
      <c r="R4" s="46">
        <v>3</v>
      </c>
      <c r="S4" s="101">
        <f>I43</f>
        <v>241</v>
      </c>
      <c r="T4" s="38">
        <f>R4*S4</f>
        <v>723</v>
      </c>
      <c r="U4" s="46">
        <v>0</v>
      </c>
      <c r="V4" s="101">
        <f>SUM(G43:I43)</f>
        <v>726</v>
      </c>
      <c r="W4" s="38">
        <v>0</v>
      </c>
      <c r="X4" s="62">
        <f t="shared" ref="X4:X7" si="0">T4+Q4+N4+K4+H4</f>
        <v>3285611.05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503998</v>
      </c>
      <c r="I5" s="45">
        <v>2</v>
      </c>
      <c r="J5" s="102"/>
      <c r="K5" s="38">
        <f>I5*J4</f>
        <v>13314</v>
      </c>
      <c r="L5" s="45">
        <v>2</v>
      </c>
      <c r="M5" s="102"/>
      <c r="N5" s="38">
        <f>L5*M4</f>
        <v>520</v>
      </c>
      <c r="O5" s="40">
        <v>2</v>
      </c>
      <c r="P5" s="102"/>
      <c r="Q5" s="38">
        <f>O5*P4</f>
        <v>500</v>
      </c>
      <c r="R5" s="40">
        <v>2</v>
      </c>
      <c r="S5" s="102"/>
      <c r="T5" s="38">
        <f>R5*S4</f>
        <v>482</v>
      </c>
      <c r="U5" s="40">
        <v>0</v>
      </c>
      <c r="V5" s="102"/>
      <c r="W5" s="38">
        <v>0</v>
      </c>
      <c r="X5" s="62">
        <f t="shared" si="0"/>
        <v>518814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2519990</v>
      </c>
      <c r="I7" s="45">
        <v>5</v>
      </c>
      <c r="J7" s="102"/>
      <c r="K7" s="38">
        <f>I7*J4</f>
        <v>33285</v>
      </c>
      <c r="L7" s="45">
        <v>14</v>
      </c>
      <c r="M7" s="102"/>
      <c r="N7" s="38">
        <f>L7*M4</f>
        <v>3640</v>
      </c>
      <c r="O7" s="40">
        <v>5</v>
      </c>
      <c r="P7" s="102"/>
      <c r="Q7" s="38">
        <f>O7*P4</f>
        <v>1250</v>
      </c>
      <c r="R7" s="40">
        <v>14</v>
      </c>
      <c r="S7" s="102"/>
      <c r="T7" s="38">
        <f>R7*S4</f>
        <v>3374</v>
      </c>
      <c r="U7" s="40">
        <v>0</v>
      </c>
      <c r="V7" s="102"/>
      <c r="W7" s="38">
        <v>0</v>
      </c>
      <c r="X7" s="62">
        <f t="shared" si="0"/>
        <v>2561539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503998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13794</v>
      </c>
      <c r="X8" s="62">
        <f>T8+Q8+N8+K8+H8+W8</f>
        <v>517792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390598.45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390598.45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16.5</v>
      </c>
      <c r="G10" s="103"/>
      <c r="H10" s="41">
        <f t="shared" ref="H10:L10" si="2">SUM(H4:H9)</f>
        <v>7181971.5</v>
      </c>
      <c r="I10" s="41">
        <f t="shared" si="2"/>
        <v>10</v>
      </c>
      <c r="J10" s="103"/>
      <c r="K10" s="41">
        <f t="shared" si="2"/>
        <v>66570</v>
      </c>
      <c r="L10" s="41">
        <f t="shared" si="2"/>
        <v>19</v>
      </c>
      <c r="M10" s="103"/>
      <c r="N10" s="41">
        <f t="shared" ref="N10:R10" si="3">SUM(N4:N9)</f>
        <v>4940</v>
      </c>
      <c r="O10" s="41">
        <f t="shared" si="3"/>
        <v>10</v>
      </c>
      <c r="P10" s="103"/>
      <c r="Q10" s="41">
        <f t="shared" si="3"/>
        <v>2500</v>
      </c>
      <c r="R10" s="41">
        <f t="shared" si="3"/>
        <v>19</v>
      </c>
      <c r="S10" s="103"/>
      <c r="T10" s="41">
        <f t="shared" ref="T10:W10" si="4">SUM(T4:T9)</f>
        <v>4579</v>
      </c>
      <c r="U10" s="41">
        <f t="shared" si="4"/>
        <v>19</v>
      </c>
      <c r="V10" s="103"/>
      <c r="W10" s="41">
        <f t="shared" si="4"/>
        <v>13794</v>
      </c>
      <c r="X10" s="63">
        <f>T10+Q10+N10+K10+H10+W10</f>
        <v>7274354.5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69</v>
      </c>
      <c r="E12" s="39" t="s">
        <v>25</v>
      </c>
      <c r="F12" s="40">
        <v>12.95</v>
      </c>
      <c r="G12" s="101">
        <f>B44</f>
        <v>269085</v>
      </c>
      <c r="H12" s="38">
        <f>F12*G12</f>
        <v>3484650.75</v>
      </c>
      <c r="I12" s="46">
        <v>3</v>
      </c>
      <c r="J12" s="101">
        <f>E44</f>
        <v>7345</v>
      </c>
      <c r="K12" s="38">
        <f>I12*J12</f>
        <v>22035</v>
      </c>
      <c r="L12" s="46">
        <v>3</v>
      </c>
      <c r="M12" s="101">
        <f>F44</f>
        <v>280</v>
      </c>
      <c r="N12" s="38">
        <f>L12*M12</f>
        <v>840</v>
      </c>
      <c r="O12" s="46">
        <v>3</v>
      </c>
      <c r="P12" s="101">
        <f>H44</f>
        <v>265</v>
      </c>
      <c r="Q12" s="38">
        <f>O12*P12</f>
        <v>795</v>
      </c>
      <c r="R12" s="46">
        <v>3</v>
      </c>
      <c r="S12" s="101">
        <f>I44</f>
        <v>250</v>
      </c>
      <c r="T12" s="38">
        <f>R12*S12</f>
        <v>750</v>
      </c>
      <c r="U12" s="46">
        <v>0</v>
      </c>
      <c r="V12" s="101">
        <f>SUM(G44:I44)</f>
        <v>770</v>
      </c>
      <c r="W12" s="38">
        <v>0</v>
      </c>
      <c r="X12" s="62">
        <f t="shared" si="1"/>
        <v>3509070.75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538170</v>
      </c>
      <c r="I13" s="40">
        <v>2</v>
      </c>
      <c r="J13" s="102"/>
      <c r="K13" s="38">
        <f>I13*J12</f>
        <v>14690</v>
      </c>
      <c r="L13" s="40">
        <v>2</v>
      </c>
      <c r="M13" s="102"/>
      <c r="N13" s="38">
        <f>L13*M12</f>
        <v>560</v>
      </c>
      <c r="O13" s="40">
        <v>2</v>
      </c>
      <c r="P13" s="102"/>
      <c r="Q13" s="38">
        <f>O13*P12</f>
        <v>530</v>
      </c>
      <c r="R13" s="40">
        <v>2</v>
      </c>
      <c r="S13" s="102"/>
      <c r="T13" s="38">
        <f>R13*S12</f>
        <v>500</v>
      </c>
      <c r="U13" s="40">
        <v>0</v>
      </c>
      <c r="V13" s="102"/>
      <c r="W13" s="38">
        <v>0</v>
      </c>
      <c r="X13" s="62">
        <f t="shared" si="1"/>
        <v>554450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2690850</v>
      </c>
      <c r="I15" s="40">
        <v>5</v>
      </c>
      <c r="J15" s="102"/>
      <c r="K15" s="38">
        <f>I15*J12</f>
        <v>36725</v>
      </c>
      <c r="L15" s="40">
        <v>14</v>
      </c>
      <c r="M15" s="102"/>
      <c r="N15" s="38">
        <f>L15*M12</f>
        <v>3920</v>
      </c>
      <c r="O15" s="40">
        <v>5</v>
      </c>
      <c r="P15" s="102"/>
      <c r="Q15" s="38">
        <f>O15*P12</f>
        <v>1325</v>
      </c>
      <c r="R15" s="40">
        <v>14</v>
      </c>
      <c r="S15" s="102"/>
      <c r="T15" s="38">
        <f>R15*S12</f>
        <v>3500</v>
      </c>
      <c r="U15" s="40">
        <v>0</v>
      </c>
      <c r="V15" s="102"/>
      <c r="W15" s="38">
        <v>0</v>
      </c>
      <c r="X15" s="62">
        <f t="shared" si="1"/>
        <v>2736320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538170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14630</v>
      </c>
      <c r="X16" s="62">
        <f>T16+Q16+N16+K16+H16+W16</f>
        <v>552800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417081.75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417081.75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16.5</v>
      </c>
      <c r="G18" s="103"/>
      <c r="H18" s="41">
        <f t="shared" ref="H18:L18" si="6">SUM(H12:H17)</f>
        <v>7668922.5</v>
      </c>
      <c r="I18" s="41">
        <f t="shared" si="6"/>
        <v>10</v>
      </c>
      <c r="J18" s="103"/>
      <c r="K18" s="41">
        <f t="shared" si="6"/>
        <v>73450</v>
      </c>
      <c r="L18" s="41">
        <f t="shared" si="6"/>
        <v>19</v>
      </c>
      <c r="M18" s="103"/>
      <c r="N18" s="41">
        <f t="shared" ref="N18:R18" si="7">SUM(N12:N17)</f>
        <v>5320</v>
      </c>
      <c r="O18" s="41">
        <f t="shared" si="7"/>
        <v>10</v>
      </c>
      <c r="P18" s="103"/>
      <c r="Q18" s="41">
        <f t="shared" si="7"/>
        <v>2650</v>
      </c>
      <c r="R18" s="41">
        <f t="shared" si="7"/>
        <v>19</v>
      </c>
      <c r="S18" s="103"/>
      <c r="T18" s="41">
        <f t="shared" ref="T18:W18" si="8">SUM(T12:T17)</f>
        <v>4750</v>
      </c>
      <c r="U18" s="41">
        <f t="shared" si="8"/>
        <v>19</v>
      </c>
      <c r="V18" s="103"/>
      <c r="W18" s="41">
        <f t="shared" si="8"/>
        <v>14630</v>
      </c>
      <c r="X18" s="63">
        <f>T18+Q18+N18+K18+H18+W18</f>
        <v>7769722.5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69</v>
      </c>
      <c r="E20" s="39" t="s">
        <v>25</v>
      </c>
      <c r="F20" s="40">
        <v>12.95</v>
      </c>
      <c r="G20" s="101">
        <f>B45</f>
        <v>259350</v>
      </c>
      <c r="H20" s="38">
        <f>F20*G20</f>
        <v>3358582.5</v>
      </c>
      <c r="I20" s="46">
        <v>3</v>
      </c>
      <c r="J20" s="101">
        <f>E45</f>
        <v>7123</v>
      </c>
      <c r="K20" s="38">
        <f>I20*J20</f>
        <v>21369</v>
      </c>
      <c r="L20" s="46">
        <v>3</v>
      </c>
      <c r="M20" s="101">
        <f>F45</f>
        <v>275</v>
      </c>
      <c r="N20" s="38">
        <f>L20*M20</f>
        <v>825</v>
      </c>
      <c r="O20" s="46">
        <v>3</v>
      </c>
      <c r="P20" s="101">
        <f>H45</f>
        <v>260</v>
      </c>
      <c r="Q20" s="38">
        <f>O20*P20</f>
        <v>780</v>
      </c>
      <c r="R20" s="46">
        <v>3</v>
      </c>
      <c r="S20" s="101">
        <f>I45</f>
        <v>421</v>
      </c>
      <c r="T20" s="38">
        <f>R20*S20</f>
        <v>1263</v>
      </c>
      <c r="U20" s="46">
        <v>0</v>
      </c>
      <c r="V20" s="101">
        <f>SUM((G45:I45))</f>
        <v>929</v>
      </c>
      <c r="W20" s="38">
        <v>0</v>
      </c>
      <c r="X20" s="62">
        <f t="shared" si="5"/>
        <v>3382819.5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518700</v>
      </c>
      <c r="I21" s="40">
        <v>2</v>
      </c>
      <c r="J21" s="102"/>
      <c r="K21" s="38">
        <f>I21*J20</f>
        <v>14246</v>
      </c>
      <c r="L21" s="40">
        <v>2</v>
      </c>
      <c r="M21" s="102"/>
      <c r="N21" s="38">
        <f>L21*M20</f>
        <v>550</v>
      </c>
      <c r="O21" s="40">
        <v>2</v>
      </c>
      <c r="P21" s="102"/>
      <c r="Q21" s="38">
        <f>O21*P20</f>
        <v>520</v>
      </c>
      <c r="R21" s="40">
        <v>2</v>
      </c>
      <c r="S21" s="102"/>
      <c r="T21" s="38">
        <f>R21*S20</f>
        <v>842</v>
      </c>
      <c r="U21" s="40">
        <v>0</v>
      </c>
      <c r="V21" s="102"/>
      <c r="W21" s="38">
        <v>0</v>
      </c>
      <c r="X21" s="62">
        <f t="shared" si="5"/>
        <v>534858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2593500</v>
      </c>
      <c r="I23" s="40">
        <v>5</v>
      </c>
      <c r="J23" s="102"/>
      <c r="K23" s="38">
        <f>I23*J20</f>
        <v>35615</v>
      </c>
      <c r="L23" s="40">
        <v>14</v>
      </c>
      <c r="M23" s="102"/>
      <c r="N23" s="38">
        <f>L23*M20</f>
        <v>3850</v>
      </c>
      <c r="O23" s="40">
        <v>5</v>
      </c>
      <c r="P23" s="102"/>
      <c r="Q23" s="38">
        <f>O23*P20</f>
        <v>1300</v>
      </c>
      <c r="R23" s="40">
        <v>14</v>
      </c>
      <c r="S23" s="102"/>
      <c r="T23" s="38">
        <f>R23*S20</f>
        <v>5894</v>
      </c>
      <c r="U23" s="40">
        <v>0</v>
      </c>
      <c r="V23" s="102"/>
      <c r="W23" s="38">
        <v>0</v>
      </c>
      <c r="X23" s="62">
        <f t="shared" si="5"/>
        <v>2640159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518700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17651</v>
      </c>
      <c r="X24" s="62">
        <f>T24+Q24+N24+K24+H24+W24</f>
        <v>536351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401992.5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401992.5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16.5</v>
      </c>
      <c r="G26" s="104"/>
      <c r="H26" s="43">
        <f t="shared" ref="H26:L26" si="9">SUM(H20:H25)</f>
        <v>7391475</v>
      </c>
      <c r="I26" s="43">
        <f t="shared" si="9"/>
        <v>10</v>
      </c>
      <c r="J26" s="104"/>
      <c r="K26" s="43">
        <f t="shared" si="9"/>
        <v>71230</v>
      </c>
      <c r="L26" s="43">
        <f t="shared" si="9"/>
        <v>19</v>
      </c>
      <c r="M26" s="104"/>
      <c r="N26" s="43">
        <f t="shared" ref="N26:R26" si="10">SUM(N20:N25)</f>
        <v>5225</v>
      </c>
      <c r="O26" s="43">
        <f t="shared" si="10"/>
        <v>10</v>
      </c>
      <c r="P26" s="104"/>
      <c r="Q26" s="43">
        <f t="shared" si="10"/>
        <v>2600</v>
      </c>
      <c r="R26" s="43">
        <f t="shared" si="10"/>
        <v>19</v>
      </c>
      <c r="S26" s="104"/>
      <c r="T26" s="43">
        <f t="shared" ref="T26:W26" si="11">SUM(T20:T25)</f>
        <v>7999</v>
      </c>
      <c r="U26" s="43">
        <f t="shared" si="11"/>
        <v>19</v>
      </c>
      <c r="V26" s="104"/>
      <c r="W26" s="43">
        <f t="shared" si="11"/>
        <v>17651</v>
      </c>
      <c r="X26" s="65">
        <f>T26+Q26+N26+K26+H26+W26</f>
        <v>7496180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378945.26</v>
      </c>
      <c r="E31" s="22">
        <f t="shared" ref="E31:E34" si="12">X4</f>
        <v>3285611.05</v>
      </c>
      <c r="F31" s="22">
        <f t="shared" ref="F31:F34" si="13">E31-D31</f>
        <v>2906665.79</v>
      </c>
      <c r="G31" s="22">
        <f t="shared" ref="G31:G34" si="14">X12</f>
        <v>3509070.75</v>
      </c>
      <c r="H31" s="22">
        <f t="shared" ref="H31:H34" si="15">G31-D31</f>
        <v>3130125.49</v>
      </c>
      <c r="I31" s="22">
        <f t="shared" ref="I31:I34" si="16">X20</f>
        <v>3382819.5</v>
      </c>
      <c r="J31" s="50">
        <f t="shared" ref="J31:J34" si="17">I31-D31</f>
        <v>3003874.24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75312.639999999999</v>
      </c>
      <c r="E32" s="22">
        <f t="shared" si="12"/>
        <v>518814</v>
      </c>
      <c r="F32" s="22">
        <f t="shared" si="13"/>
        <v>443501.36</v>
      </c>
      <c r="G32" s="22">
        <f t="shared" si="14"/>
        <v>554450</v>
      </c>
      <c r="H32" s="22">
        <f t="shared" si="15"/>
        <v>479137.36</v>
      </c>
      <c r="I32" s="22">
        <f t="shared" si="16"/>
        <v>534858</v>
      </c>
      <c r="J32" s="50">
        <f t="shared" si="17"/>
        <v>459545.36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339876.12</v>
      </c>
      <c r="E33" s="22">
        <f>X7+X8</f>
        <v>3079331</v>
      </c>
      <c r="F33" s="22">
        <f t="shared" si="13"/>
        <v>2739454.88</v>
      </c>
      <c r="G33" s="22">
        <f>X15+X16</f>
        <v>3289120</v>
      </c>
      <c r="H33" s="22">
        <f t="shared" si="15"/>
        <v>2949243.88</v>
      </c>
      <c r="I33" s="22">
        <f>X23+X24</f>
        <v>3176510</v>
      </c>
      <c r="J33" s="50">
        <f t="shared" si="17"/>
        <v>2836633.88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314989.31</v>
      </c>
      <c r="E34" s="22">
        <f t="shared" si="12"/>
        <v>2561539</v>
      </c>
      <c r="F34" s="22">
        <f t="shared" si="13"/>
        <v>2246549.69</v>
      </c>
      <c r="G34" s="22">
        <f t="shared" si="14"/>
        <v>2736320</v>
      </c>
      <c r="H34" s="22">
        <f t="shared" si="15"/>
        <v>2421330.69</v>
      </c>
      <c r="I34" s="22">
        <f t="shared" si="16"/>
        <v>2640159</v>
      </c>
      <c r="J34" s="50">
        <f t="shared" si="17"/>
        <v>2325169.69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24886.81</v>
      </c>
      <c r="E35" s="22">
        <f t="shared" si="18"/>
        <v>517792</v>
      </c>
      <c r="F35" s="22">
        <f t="shared" si="18"/>
        <v>492905.19</v>
      </c>
      <c r="G35" s="22">
        <f t="shared" si="18"/>
        <v>552800</v>
      </c>
      <c r="H35" s="22">
        <f t="shared" si="18"/>
        <v>527913.18999999994</v>
      </c>
      <c r="I35" s="22">
        <f t="shared" si="18"/>
        <v>536351</v>
      </c>
      <c r="J35" s="50">
        <f t="shared" si="18"/>
        <v>511464.19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42345.31</v>
      </c>
      <c r="E36" s="22">
        <f>X9</f>
        <v>390598.45</v>
      </c>
      <c r="F36" s="22">
        <f>E36-D36</f>
        <v>348253.14</v>
      </c>
      <c r="G36" s="22">
        <f>X17</f>
        <v>417081.75</v>
      </c>
      <c r="H36" s="22">
        <f>G36-D36</f>
        <v>374736.44</v>
      </c>
      <c r="I36" s="22">
        <f>X25</f>
        <v>401992.5</v>
      </c>
      <c r="J36" s="50">
        <f>I36-D36</f>
        <v>359647.19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836479.33</v>
      </c>
      <c r="E37" s="22">
        <f>X10</f>
        <v>7274354.5</v>
      </c>
      <c r="F37" s="22">
        <f>E37-D37</f>
        <v>6437875.1699999999</v>
      </c>
      <c r="G37" s="22">
        <f>X18</f>
        <v>7769722.5</v>
      </c>
      <c r="H37" s="22">
        <f>G37-D37</f>
        <v>6933243.1699999999</v>
      </c>
      <c r="I37" s="22">
        <f>X26</f>
        <v>7496180</v>
      </c>
      <c r="J37" s="50">
        <f>I37-D37</f>
        <v>6659700.6699999999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6489044.1699999999</v>
      </c>
      <c r="G38" s="18"/>
      <c r="H38" s="22">
        <f>H37+C48+C49</f>
        <v>6984412.1699999999</v>
      </c>
      <c r="I38" s="18"/>
      <c r="J38" s="50">
        <f>J37+C48+C49</f>
        <v>6710869.6699999999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251999</v>
      </c>
      <c r="C43" s="21">
        <v>220567</v>
      </c>
      <c r="D43" s="25">
        <v>23789</v>
      </c>
      <c r="E43" s="21">
        <v>6657</v>
      </c>
      <c r="F43" s="21">
        <v>260</v>
      </c>
      <c r="G43" s="21">
        <v>235</v>
      </c>
      <c r="H43" s="21">
        <v>250</v>
      </c>
      <c r="I43" s="52">
        <v>241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269085</v>
      </c>
      <c r="C44" s="21">
        <v>234567</v>
      </c>
      <c r="D44" s="25">
        <v>26123</v>
      </c>
      <c r="E44" s="21">
        <v>7345</v>
      </c>
      <c r="F44" s="21">
        <v>280</v>
      </c>
      <c r="G44" s="21">
        <v>255</v>
      </c>
      <c r="H44" s="21">
        <v>265</v>
      </c>
      <c r="I44" s="52">
        <v>250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259350</v>
      </c>
      <c r="C45" s="28">
        <v>225678</v>
      </c>
      <c r="D45" s="29">
        <v>25345</v>
      </c>
      <c r="E45" s="28">
        <v>7123</v>
      </c>
      <c r="F45" s="28">
        <v>275</v>
      </c>
      <c r="G45" s="28">
        <v>248</v>
      </c>
      <c r="H45" s="28">
        <v>260</v>
      </c>
      <c r="I45" s="53">
        <v>421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38724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12445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5"/>
  <sheetViews>
    <sheetView topLeftCell="A10" zoomScale="60" zoomScaleNormal="60" workbookViewId="0">
      <selection activeCell="C55" sqref="C55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70</v>
      </c>
      <c r="C1" s="70"/>
      <c r="D1" s="70" t="s">
        <v>2</v>
      </c>
      <c r="E1" s="70" t="s">
        <v>71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69</v>
      </c>
      <c r="E4" s="39" t="s">
        <v>25</v>
      </c>
      <c r="F4" s="40">
        <v>12.95</v>
      </c>
      <c r="G4" s="101">
        <f>B43</f>
        <v>236062</v>
      </c>
      <c r="H4" s="38">
        <f>F4*G4</f>
        <v>3057002.9</v>
      </c>
      <c r="I4" s="45">
        <v>3</v>
      </c>
      <c r="J4" s="101">
        <f>E43</f>
        <v>23209</v>
      </c>
      <c r="K4" s="38">
        <f>I4*J4</f>
        <v>69627</v>
      </c>
      <c r="L4" s="45">
        <v>3</v>
      </c>
      <c r="M4" s="101">
        <f>F43</f>
        <v>6678</v>
      </c>
      <c r="N4" s="38">
        <f>L4*M4</f>
        <v>20034</v>
      </c>
      <c r="O4" s="46">
        <v>3</v>
      </c>
      <c r="P4" s="101">
        <f>H43</f>
        <v>235</v>
      </c>
      <c r="Q4" s="38">
        <f>O4*P4</f>
        <v>705</v>
      </c>
      <c r="R4" s="46">
        <v>3</v>
      </c>
      <c r="S4" s="101">
        <f>I43</f>
        <v>247</v>
      </c>
      <c r="T4" s="38">
        <f>R4*S4</f>
        <v>741</v>
      </c>
      <c r="U4" s="46">
        <v>0</v>
      </c>
      <c r="V4" s="101">
        <f>SUM(G43:I43)</f>
        <v>732</v>
      </c>
      <c r="W4" s="38">
        <v>0</v>
      </c>
      <c r="X4" s="62">
        <f t="shared" ref="X4:X7" si="0">T4+Q4+N4+K4+H4</f>
        <v>3148109.9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472124</v>
      </c>
      <c r="I5" s="45">
        <v>2</v>
      </c>
      <c r="J5" s="102"/>
      <c r="K5" s="38">
        <f>I5*J4</f>
        <v>46418</v>
      </c>
      <c r="L5" s="45">
        <v>2</v>
      </c>
      <c r="M5" s="102"/>
      <c r="N5" s="38">
        <f>L5*M4</f>
        <v>13356</v>
      </c>
      <c r="O5" s="40">
        <v>2</v>
      </c>
      <c r="P5" s="102"/>
      <c r="Q5" s="38">
        <f>O5*P4</f>
        <v>470</v>
      </c>
      <c r="R5" s="40">
        <v>2</v>
      </c>
      <c r="S5" s="102"/>
      <c r="T5" s="38">
        <f>R5*S4</f>
        <v>494</v>
      </c>
      <c r="U5" s="40">
        <v>0</v>
      </c>
      <c r="V5" s="102"/>
      <c r="W5" s="38">
        <v>0</v>
      </c>
      <c r="X5" s="62">
        <f t="shared" si="0"/>
        <v>532862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2360620</v>
      </c>
      <c r="I7" s="45">
        <v>5</v>
      </c>
      <c r="J7" s="102"/>
      <c r="K7" s="38">
        <f>I7*J4</f>
        <v>116045</v>
      </c>
      <c r="L7" s="45">
        <v>14</v>
      </c>
      <c r="M7" s="102"/>
      <c r="N7" s="38">
        <f>L7*M4</f>
        <v>93492</v>
      </c>
      <c r="O7" s="40">
        <v>5</v>
      </c>
      <c r="P7" s="102"/>
      <c r="Q7" s="38">
        <f>O7*P4</f>
        <v>1175</v>
      </c>
      <c r="R7" s="40">
        <v>14</v>
      </c>
      <c r="S7" s="102"/>
      <c r="T7" s="38">
        <f>R7*S4</f>
        <v>3458</v>
      </c>
      <c r="U7" s="40">
        <v>0</v>
      </c>
      <c r="V7" s="102"/>
      <c r="W7" s="38">
        <v>0</v>
      </c>
      <c r="X7" s="62">
        <f t="shared" si="0"/>
        <v>2574790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472124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13908</v>
      </c>
      <c r="X8" s="62">
        <f>T8+Q8+N8+K8+H8+W8</f>
        <v>486032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365896.1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365896.1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16.5</v>
      </c>
      <c r="G10" s="103"/>
      <c r="H10" s="41">
        <f t="shared" ref="H10:L10" si="2">SUM(H4:H9)</f>
        <v>6727767</v>
      </c>
      <c r="I10" s="41">
        <f t="shared" si="2"/>
        <v>10</v>
      </c>
      <c r="J10" s="103"/>
      <c r="K10" s="41">
        <f t="shared" si="2"/>
        <v>232090</v>
      </c>
      <c r="L10" s="41">
        <f t="shared" si="2"/>
        <v>19</v>
      </c>
      <c r="M10" s="103"/>
      <c r="N10" s="41">
        <f t="shared" ref="N10:R10" si="3">SUM(N4:N9)</f>
        <v>126882</v>
      </c>
      <c r="O10" s="41">
        <f t="shared" si="3"/>
        <v>10</v>
      </c>
      <c r="P10" s="103"/>
      <c r="Q10" s="41">
        <f t="shared" si="3"/>
        <v>2350</v>
      </c>
      <c r="R10" s="41">
        <f t="shared" si="3"/>
        <v>19</v>
      </c>
      <c r="S10" s="103"/>
      <c r="T10" s="41">
        <f t="shared" ref="T10:W10" si="4">SUM(T4:T9)</f>
        <v>4693</v>
      </c>
      <c r="U10" s="41">
        <f t="shared" si="4"/>
        <v>19</v>
      </c>
      <c r="V10" s="103"/>
      <c r="W10" s="41">
        <f t="shared" si="4"/>
        <v>13908</v>
      </c>
      <c r="X10" s="63">
        <f>T10+Q10+N10+K10+H10+W10</f>
        <v>7107690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69</v>
      </c>
      <c r="E12" s="39" t="s">
        <v>25</v>
      </c>
      <c r="F12" s="40">
        <v>12.95</v>
      </c>
      <c r="G12" s="101">
        <f>B44</f>
        <v>245378</v>
      </c>
      <c r="H12" s="38">
        <f>F12*G12</f>
        <v>3177645.1</v>
      </c>
      <c r="I12" s="46">
        <v>3</v>
      </c>
      <c r="J12" s="101">
        <f>E44</f>
        <v>22431</v>
      </c>
      <c r="K12" s="38">
        <f>I12*J12</f>
        <v>67293</v>
      </c>
      <c r="L12" s="46">
        <v>3</v>
      </c>
      <c r="M12" s="101">
        <f>F44</f>
        <v>6456</v>
      </c>
      <c r="N12" s="38">
        <f>L12*M12</f>
        <v>19368</v>
      </c>
      <c r="O12" s="46">
        <v>3</v>
      </c>
      <c r="P12" s="101">
        <f>H44</f>
        <v>228</v>
      </c>
      <c r="Q12" s="38">
        <f>O12*P12</f>
        <v>684</v>
      </c>
      <c r="R12" s="46">
        <v>3</v>
      </c>
      <c r="S12" s="101">
        <f>I44</f>
        <v>242</v>
      </c>
      <c r="T12" s="38">
        <f>R12*S12</f>
        <v>726</v>
      </c>
      <c r="U12" s="46">
        <v>0</v>
      </c>
      <c r="V12" s="101">
        <f>SUM(G44:I44)</f>
        <v>715</v>
      </c>
      <c r="W12" s="38">
        <v>0</v>
      </c>
      <c r="X12" s="62">
        <f t="shared" si="1"/>
        <v>3265716.1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490756</v>
      </c>
      <c r="I13" s="40">
        <v>2</v>
      </c>
      <c r="J13" s="102"/>
      <c r="K13" s="38">
        <f>I13*J12</f>
        <v>44862</v>
      </c>
      <c r="L13" s="40">
        <v>2</v>
      </c>
      <c r="M13" s="102"/>
      <c r="N13" s="38">
        <f>L13*M12</f>
        <v>12912</v>
      </c>
      <c r="O13" s="40">
        <v>2</v>
      </c>
      <c r="P13" s="102"/>
      <c r="Q13" s="38">
        <f>O13*P12</f>
        <v>456</v>
      </c>
      <c r="R13" s="40">
        <v>2</v>
      </c>
      <c r="S13" s="102"/>
      <c r="T13" s="38">
        <f>R13*S12</f>
        <v>484</v>
      </c>
      <c r="U13" s="40">
        <v>0</v>
      </c>
      <c r="V13" s="102"/>
      <c r="W13" s="38">
        <v>0</v>
      </c>
      <c r="X13" s="62">
        <f t="shared" si="1"/>
        <v>549470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2453780</v>
      </c>
      <c r="I15" s="40">
        <v>5</v>
      </c>
      <c r="J15" s="102"/>
      <c r="K15" s="38">
        <f>I15*J12</f>
        <v>112155</v>
      </c>
      <c r="L15" s="40">
        <v>14</v>
      </c>
      <c r="M15" s="102"/>
      <c r="N15" s="38">
        <f>L15*M12</f>
        <v>90384</v>
      </c>
      <c r="O15" s="40">
        <v>5</v>
      </c>
      <c r="P15" s="102"/>
      <c r="Q15" s="38">
        <f>O15*P12</f>
        <v>1140</v>
      </c>
      <c r="R15" s="40">
        <v>14</v>
      </c>
      <c r="S15" s="102"/>
      <c r="T15" s="38">
        <f>R15*S12</f>
        <v>3388</v>
      </c>
      <c r="U15" s="40">
        <v>0</v>
      </c>
      <c r="V15" s="102"/>
      <c r="W15" s="38">
        <v>0</v>
      </c>
      <c r="X15" s="62">
        <f t="shared" si="1"/>
        <v>2660847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490756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13585</v>
      </c>
      <c r="X16" s="62">
        <f>T16+Q16+N16+K16+H16+W16</f>
        <v>504341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380335.9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380335.9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16.5</v>
      </c>
      <c r="G18" s="103"/>
      <c r="H18" s="41">
        <f t="shared" ref="H18:L18" si="6">SUM(H12:H17)</f>
        <v>6993273</v>
      </c>
      <c r="I18" s="41">
        <f t="shared" si="6"/>
        <v>10</v>
      </c>
      <c r="J18" s="103"/>
      <c r="K18" s="41">
        <f t="shared" si="6"/>
        <v>224310</v>
      </c>
      <c r="L18" s="41">
        <f t="shared" si="6"/>
        <v>19</v>
      </c>
      <c r="M18" s="103"/>
      <c r="N18" s="41">
        <f t="shared" ref="N18:R18" si="7">SUM(N12:N17)</f>
        <v>122664</v>
      </c>
      <c r="O18" s="41">
        <f t="shared" si="7"/>
        <v>10</v>
      </c>
      <c r="P18" s="103"/>
      <c r="Q18" s="41">
        <f t="shared" si="7"/>
        <v>2280</v>
      </c>
      <c r="R18" s="41">
        <f t="shared" si="7"/>
        <v>19</v>
      </c>
      <c r="S18" s="103"/>
      <c r="T18" s="41">
        <f t="shared" ref="T18:W18" si="8">SUM(T12:T17)</f>
        <v>4598</v>
      </c>
      <c r="U18" s="41">
        <f t="shared" si="8"/>
        <v>19</v>
      </c>
      <c r="V18" s="103"/>
      <c r="W18" s="41">
        <f t="shared" si="8"/>
        <v>13585</v>
      </c>
      <c r="X18" s="63">
        <f>T18+Q18+N18+K18+H18+W18</f>
        <v>7360710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69</v>
      </c>
      <c r="E20" s="39" t="s">
        <v>25</v>
      </c>
      <c r="F20" s="40">
        <v>12.95</v>
      </c>
      <c r="G20" s="101">
        <f>B45</f>
        <v>262102</v>
      </c>
      <c r="H20" s="38">
        <f>F20*G20</f>
        <v>3394220.9</v>
      </c>
      <c r="I20" s="46">
        <v>3</v>
      </c>
      <c r="J20" s="101">
        <f>E45</f>
        <v>24765</v>
      </c>
      <c r="K20" s="38">
        <f>I20*J20</f>
        <v>74295</v>
      </c>
      <c r="L20" s="46">
        <v>3</v>
      </c>
      <c r="M20" s="101">
        <f>F45</f>
        <v>7234</v>
      </c>
      <c r="N20" s="38">
        <f>L20*M20</f>
        <v>21702</v>
      </c>
      <c r="O20" s="46">
        <v>3</v>
      </c>
      <c r="P20" s="101">
        <f>H45</f>
        <v>248</v>
      </c>
      <c r="Q20" s="38">
        <f>O20*P20</f>
        <v>744</v>
      </c>
      <c r="R20" s="46">
        <v>3</v>
      </c>
      <c r="S20" s="101">
        <f>I45</f>
        <v>258</v>
      </c>
      <c r="T20" s="38">
        <f>R20*S20</f>
        <v>774</v>
      </c>
      <c r="U20" s="46">
        <v>0</v>
      </c>
      <c r="V20" s="101">
        <f>SUM((G45:I45))</f>
        <v>771</v>
      </c>
      <c r="W20" s="38">
        <v>0</v>
      </c>
      <c r="X20" s="62">
        <f t="shared" si="5"/>
        <v>3491735.9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524204</v>
      </c>
      <c r="I21" s="40">
        <v>2</v>
      </c>
      <c r="J21" s="102"/>
      <c r="K21" s="38">
        <f>I21*J20</f>
        <v>49530</v>
      </c>
      <c r="L21" s="40">
        <v>2</v>
      </c>
      <c r="M21" s="102"/>
      <c r="N21" s="38">
        <f>L21*M20</f>
        <v>14468</v>
      </c>
      <c r="O21" s="40">
        <v>2</v>
      </c>
      <c r="P21" s="102"/>
      <c r="Q21" s="38">
        <f>O21*P20</f>
        <v>496</v>
      </c>
      <c r="R21" s="40">
        <v>2</v>
      </c>
      <c r="S21" s="102"/>
      <c r="T21" s="38">
        <f>R21*S20</f>
        <v>516</v>
      </c>
      <c r="U21" s="40">
        <v>0</v>
      </c>
      <c r="V21" s="102"/>
      <c r="W21" s="38">
        <v>0</v>
      </c>
      <c r="X21" s="62">
        <f t="shared" si="5"/>
        <v>589214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2621020</v>
      </c>
      <c r="I23" s="40">
        <v>5</v>
      </c>
      <c r="J23" s="102"/>
      <c r="K23" s="38">
        <f>I23*J20</f>
        <v>123825</v>
      </c>
      <c r="L23" s="40">
        <v>14</v>
      </c>
      <c r="M23" s="102"/>
      <c r="N23" s="38">
        <f>L23*M20</f>
        <v>101276</v>
      </c>
      <c r="O23" s="40">
        <v>5</v>
      </c>
      <c r="P23" s="102"/>
      <c r="Q23" s="38">
        <f>O23*P20</f>
        <v>1240</v>
      </c>
      <c r="R23" s="40">
        <v>14</v>
      </c>
      <c r="S23" s="102"/>
      <c r="T23" s="38">
        <f>R23*S20</f>
        <v>3612</v>
      </c>
      <c r="U23" s="40">
        <v>0</v>
      </c>
      <c r="V23" s="102"/>
      <c r="W23" s="38">
        <v>0</v>
      </c>
      <c r="X23" s="62">
        <f t="shared" si="5"/>
        <v>2850973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524204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14649</v>
      </c>
      <c r="X24" s="62">
        <f>T24+Q24+N24+K24+H24+W24</f>
        <v>538853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406258.1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406258.1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16.5</v>
      </c>
      <c r="G26" s="104"/>
      <c r="H26" s="43">
        <f t="shared" ref="H26:L26" si="9">SUM(H20:H25)</f>
        <v>7469907</v>
      </c>
      <c r="I26" s="43">
        <f t="shared" si="9"/>
        <v>10</v>
      </c>
      <c r="J26" s="104"/>
      <c r="K26" s="43">
        <f t="shared" si="9"/>
        <v>247650</v>
      </c>
      <c r="L26" s="43">
        <f t="shared" si="9"/>
        <v>19</v>
      </c>
      <c r="M26" s="104"/>
      <c r="N26" s="43">
        <f t="shared" ref="N26:R26" si="10">SUM(N20:N25)</f>
        <v>137446</v>
      </c>
      <c r="O26" s="43">
        <f t="shared" si="10"/>
        <v>10</v>
      </c>
      <c r="P26" s="104"/>
      <c r="Q26" s="43">
        <f t="shared" si="10"/>
        <v>2480</v>
      </c>
      <c r="R26" s="43">
        <f t="shared" si="10"/>
        <v>19</v>
      </c>
      <c r="S26" s="104"/>
      <c r="T26" s="43">
        <f t="shared" ref="T26:W26" si="11">SUM(T20:T25)</f>
        <v>4902</v>
      </c>
      <c r="U26" s="43">
        <f t="shared" si="11"/>
        <v>19</v>
      </c>
      <c r="V26" s="104"/>
      <c r="W26" s="43">
        <f t="shared" si="11"/>
        <v>14649</v>
      </c>
      <c r="X26" s="65">
        <f>T26+Q26+N26+K26+H26+W26</f>
        <v>7877034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326543.98</v>
      </c>
      <c r="E31" s="22">
        <f t="shared" ref="E31:E34" si="12">X4</f>
        <v>3148109.9</v>
      </c>
      <c r="F31" s="22">
        <f t="shared" ref="F31:F34" si="13">E31-D31</f>
        <v>2821565.92</v>
      </c>
      <c r="G31" s="22">
        <f t="shared" ref="G31:G34" si="14">X12</f>
        <v>3265716.1</v>
      </c>
      <c r="H31" s="22">
        <f t="shared" ref="H31:H34" si="15">G31-D31</f>
        <v>2939172.12</v>
      </c>
      <c r="I31" s="22">
        <f t="shared" ref="I31:I34" si="16">X20</f>
        <v>3491735.9</v>
      </c>
      <c r="J31" s="50">
        <f t="shared" ref="J31:J34" si="17">I31-D31</f>
        <v>3165191.92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64890.17</v>
      </c>
      <c r="E32" s="22">
        <f t="shared" si="12"/>
        <v>532862</v>
      </c>
      <c r="F32" s="22">
        <f t="shared" si="13"/>
        <v>467971.83</v>
      </c>
      <c r="G32" s="22">
        <f t="shared" si="14"/>
        <v>549470</v>
      </c>
      <c r="H32" s="22">
        <f t="shared" si="15"/>
        <v>484579.83</v>
      </c>
      <c r="I32" s="22">
        <f t="shared" si="16"/>
        <v>589214</v>
      </c>
      <c r="J32" s="50">
        <f t="shared" si="17"/>
        <v>524323.82999999996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305123.45</v>
      </c>
      <c r="E33" s="22">
        <f>X7+X8</f>
        <v>3060822</v>
      </c>
      <c r="F33" s="22">
        <f t="shared" si="13"/>
        <v>2755698.55</v>
      </c>
      <c r="G33" s="22">
        <f>X15+X16</f>
        <v>3165188</v>
      </c>
      <c r="H33" s="22">
        <f t="shared" si="15"/>
        <v>2860064.55</v>
      </c>
      <c r="I33" s="22">
        <f>X23+X24</f>
        <v>3389826</v>
      </c>
      <c r="J33" s="50">
        <f t="shared" si="17"/>
        <v>3084702.55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279465.03000000003</v>
      </c>
      <c r="E34" s="22">
        <f t="shared" si="12"/>
        <v>2574790</v>
      </c>
      <c r="F34" s="22">
        <f t="shared" si="13"/>
        <v>2295324.9700000002</v>
      </c>
      <c r="G34" s="22">
        <f t="shared" si="14"/>
        <v>2660847</v>
      </c>
      <c r="H34" s="22">
        <f t="shared" si="15"/>
        <v>2381381.9700000002</v>
      </c>
      <c r="I34" s="22">
        <f t="shared" si="16"/>
        <v>2850973</v>
      </c>
      <c r="J34" s="50">
        <f t="shared" si="17"/>
        <v>2571507.9700000002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25658.42</v>
      </c>
      <c r="E35" s="22">
        <f t="shared" si="18"/>
        <v>486032</v>
      </c>
      <c r="F35" s="22">
        <f t="shared" si="18"/>
        <v>460373.58</v>
      </c>
      <c r="G35" s="22">
        <f t="shared" si="18"/>
        <v>504341</v>
      </c>
      <c r="H35" s="22">
        <f t="shared" si="18"/>
        <v>478682.58</v>
      </c>
      <c r="I35" s="22">
        <f t="shared" si="18"/>
        <v>538853</v>
      </c>
      <c r="J35" s="50">
        <f t="shared" si="18"/>
        <v>513194.58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238194.21</v>
      </c>
      <c r="E36" s="22">
        <f>X9</f>
        <v>365896.1</v>
      </c>
      <c r="F36" s="22">
        <f>E36-D36</f>
        <v>127701.89</v>
      </c>
      <c r="G36" s="22">
        <f>X17</f>
        <v>380335.9</v>
      </c>
      <c r="H36" s="22">
        <f>G36-D36</f>
        <v>142141.69</v>
      </c>
      <c r="I36" s="22">
        <f>X25</f>
        <v>406258.1</v>
      </c>
      <c r="J36" s="50">
        <f>I36-D36</f>
        <v>168063.89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934751.81</v>
      </c>
      <c r="E37" s="22">
        <f>X10</f>
        <v>7107690</v>
      </c>
      <c r="F37" s="22">
        <f>E37-D37</f>
        <v>6172938.1900000004</v>
      </c>
      <c r="G37" s="22">
        <f>X18</f>
        <v>7360710</v>
      </c>
      <c r="H37" s="22">
        <f>G37-D37</f>
        <v>6425958.1900000004</v>
      </c>
      <c r="I37" s="22">
        <f>X26</f>
        <v>7877034</v>
      </c>
      <c r="J37" s="50">
        <f>I37-D37</f>
        <v>6942282.1900000004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6224107.1900000004</v>
      </c>
      <c r="G38" s="18"/>
      <c r="H38" s="22">
        <f>H37+C48+C49</f>
        <v>6477127.1900000004</v>
      </c>
      <c r="I38" s="18"/>
      <c r="J38" s="50">
        <f>J37+C48+C49</f>
        <v>6993451.1900000004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236062</v>
      </c>
      <c r="C43" s="21">
        <v>24209</v>
      </c>
      <c r="D43" s="25">
        <v>181234</v>
      </c>
      <c r="E43" s="21">
        <v>23209</v>
      </c>
      <c r="F43" s="21">
        <v>6678</v>
      </c>
      <c r="G43" s="21">
        <v>250</v>
      </c>
      <c r="H43" s="21">
        <v>235</v>
      </c>
      <c r="I43" s="52">
        <v>247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245378</v>
      </c>
      <c r="C44" s="21">
        <v>23431</v>
      </c>
      <c r="D44" s="25">
        <v>192345</v>
      </c>
      <c r="E44" s="21">
        <v>22431</v>
      </c>
      <c r="F44" s="21">
        <v>6456</v>
      </c>
      <c r="G44" s="21">
        <v>245</v>
      </c>
      <c r="H44" s="21">
        <v>228</v>
      </c>
      <c r="I44" s="52">
        <v>242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262102</v>
      </c>
      <c r="C45" s="28">
        <v>25876</v>
      </c>
      <c r="D45" s="29">
        <v>203456</v>
      </c>
      <c r="E45" s="28">
        <v>24765</v>
      </c>
      <c r="F45" s="28">
        <v>7234</v>
      </c>
      <c r="G45" s="28">
        <v>265</v>
      </c>
      <c r="H45" s="28">
        <v>248</v>
      </c>
      <c r="I45" s="53">
        <v>258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38724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12445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5"/>
  <sheetViews>
    <sheetView zoomScale="60" zoomScaleNormal="60" workbookViewId="0">
      <selection activeCell="E1" sqref="E1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72</v>
      </c>
      <c r="C1" s="70"/>
      <c r="D1" s="70" t="s">
        <v>2</v>
      </c>
      <c r="E1" s="70" t="s">
        <v>73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309270</v>
      </c>
      <c r="H4" s="38">
        <f>F4*G4</f>
        <v>4932856.5</v>
      </c>
      <c r="I4" s="45">
        <v>3</v>
      </c>
      <c r="J4" s="101">
        <f>E43</f>
        <v>26789</v>
      </c>
      <c r="K4" s="38">
        <f>I4*J4</f>
        <v>80367</v>
      </c>
      <c r="L4" s="45">
        <v>3</v>
      </c>
      <c r="M4" s="101">
        <f>F43</f>
        <v>8901</v>
      </c>
      <c r="N4" s="38">
        <f>L4*M4</f>
        <v>26703</v>
      </c>
      <c r="O4" s="46">
        <v>3</v>
      </c>
      <c r="P4" s="101">
        <f>H43</f>
        <v>285</v>
      </c>
      <c r="Q4" s="38">
        <f>O4*P4</f>
        <v>855</v>
      </c>
      <c r="R4" s="46">
        <v>3</v>
      </c>
      <c r="S4" s="101">
        <f>I43</f>
        <v>310</v>
      </c>
      <c r="T4" s="38">
        <f>R4*S4</f>
        <v>930</v>
      </c>
      <c r="U4" s="46">
        <v>0</v>
      </c>
      <c r="V4" s="101">
        <f>SUM(G43:I43)</f>
        <v>915</v>
      </c>
      <c r="W4" s="38">
        <v>0</v>
      </c>
      <c r="X4" s="62">
        <f t="shared" ref="X4:X7" si="0">T4+Q4+N4+K4+H4</f>
        <v>5041711.5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618540</v>
      </c>
      <c r="I5" s="45">
        <v>2</v>
      </c>
      <c r="J5" s="102"/>
      <c r="K5" s="38">
        <f>I5*J4</f>
        <v>53578</v>
      </c>
      <c r="L5" s="45">
        <v>2</v>
      </c>
      <c r="M5" s="102"/>
      <c r="N5" s="38">
        <f>L5*M4</f>
        <v>17802</v>
      </c>
      <c r="O5" s="40">
        <v>2</v>
      </c>
      <c r="P5" s="102"/>
      <c r="Q5" s="38">
        <f>O5*P4</f>
        <v>570</v>
      </c>
      <c r="R5" s="40">
        <v>2</v>
      </c>
      <c r="S5" s="102"/>
      <c r="T5" s="38">
        <f>R5*S4</f>
        <v>620</v>
      </c>
      <c r="U5" s="40">
        <v>0</v>
      </c>
      <c r="V5" s="102"/>
      <c r="W5" s="38">
        <v>0</v>
      </c>
      <c r="X5" s="62">
        <f t="shared" si="0"/>
        <v>691110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3092700</v>
      </c>
      <c r="I7" s="45">
        <v>5</v>
      </c>
      <c r="J7" s="102"/>
      <c r="K7" s="38">
        <f>I7*J4</f>
        <v>133945</v>
      </c>
      <c r="L7" s="45">
        <v>14</v>
      </c>
      <c r="M7" s="102"/>
      <c r="N7" s="38">
        <f>L7*M4</f>
        <v>124614</v>
      </c>
      <c r="O7" s="40">
        <v>5</v>
      </c>
      <c r="P7" s="102"/>
      <c r="Q7" s="38">
        <f>O7*P4</f>
        <v>1425</v>
      </c>
      <c r="R7" s="40">
        <v>14</v>
      </c>
      <c r="S7" s="102"/>
      <c r="T7" s="38">
        <f>R7*S4</f>
        <v>4340</v>
      </c>
      <c r="U7" s="40">
        <v>0</v>
      </c>
      <c r="V7" s="102"/>
      <c r="W7" s="38">
        <v>0</v>
      </c>
      <c r="X7" s="62">
        <f t="shared" si="0"/>
        <v>3357024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618540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17385</v>
      </c>
      <c r="X8" s="62">
        <f>T8+Q8+N8+K8+H8+W8</f>
        <v>635925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479368.5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479368.5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9742005</v>
      </c>
      <c r="I10" s="41">
        <f t="shared" si="2"/>
        <v>10</v>
      </c>
      <c r="J10" s="103"/>
      <c r="K10" s="41">
        <f t="shared" si="2"/>
        <v>267890</v>
      </c>
      <c r="L10" s="41">
        <f t="shared" si="2"/>
        <v>19</v>
      </c>
      <c r="M10" s="103"/>
      <c r="N10" s="41">
        <f t="shared" ref="N10:R10" si="3">SUM(N4:N9)</f>
        <v>169119</v>
      </c>
      <c r="O10" s="41">
        <f t="shared" si="3"/>
        <v>10</v>
      </c>
      <c r="P10" s="103"/>
      <c r="Q10" s="41">
        <f t="shared" si="3"/>
        <v>2850</v>
      </c>
      <c r="R10" s="41">
        <f t="shared" si="3"/>
        <v>19</v>
      </c>
      <c r="S10" s="103"/>
      <c r="T10" s="41">
        <f t="shared" ref="T10:W10" si="4">SUM(T4:T9)</f>
        <v>5890</v>
      </c>
      <c r="U10" s="41">
        <f t="shared" si="4"/>
        <v>19</v>
      </c>
      <c r="V10" s="103"/>
      <c r="W10" s="41">
        <f t="shared" si="4"/>
        <v>17385</v>
      </c>
      <c r="X10" s="63">
        <f>T10+Q10+N10+K10+H10+W10</f>
        <v>10205139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298475</v>
      </c>
      <c r="H12" s="38">
        <f>F12*G12</f>
        <v>4760676.25</v>
      </c>
      <c r="I12" s="46">
        <v>3</v>
      </c>
      <c r="J12" s="101">
        <f>E44</f>
        <v>25901</v>
      </c>
      <c r="K12" s="38">
        <f>I12*J12</f>
        <v>77703</v>
      </c>
      <c r="L12" s="46">
        <v>3</v>
      </c>
      <c r="M12" s="101">
        <f>F44</f>
        <v>8678</v>
      </c>
      <c r="N12" s="38">
        <f>L12*M12</f>
        <v>26034</v>
      </c>
      <c r="O12" s="46">
        <v>3</v>
      </c>
      <c r="P12" s="101">
        <f>H44</f>
        <v>278</v>
      </c>
      <c r="Q12" s="38">
        <f>O12*P12</f>
        <v>834</v>
      </c>
      <c r="R12" s="46">
        <v>3</v>
      </c>
      <c r="S12" s="101">
        <f>I44</f>
        <v>305</v>
      </c>
      <c r="T12" s="38">
        <f>R12*S12</f>
        <v>915</v>
      </c>
      <c r="U12" s="46">
        <v>0</v>
      </c>
      <c r="V12" s="101">
        <f>SUM(G44:I44)</f>
        <v>898</v>
      </c>
      <c r="W12" s="38">
        <v>0</v>
      </c>
      <c r="X12" s="62">
        <f t="shared" si="1"/>
        <v>4866162.25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596950</v>
      </c>
      <c r="I13" s="40">
        <v>2</v>
      </c>
      <c r="J13" s="102"/>
      <c r="K13" s="38">
        <f>I13*J12</f>
        <v>51802</v>
      </c>
      <c r="L13" s="40">
        <v>2</v>
      </c>
      <c r="M13" s="102"/>
      <c r="N13" s="38">
        <f>L13*M12</f>
        <v>17356</v>
      </c>
      <c r="O13" s="40">
        <v>2</v>
      </c>
      <c r="P13" s="102"/>
      <c r="Q13" s="38">
        <f>O13*P12</f>
        <v>556</v>
      </c>
      <c r="R13" s="40">
        <v>2</v>
      </c>
      <c r="S13" s="102"/>
      <c r="T13" s="38">
        <f>R13*S12</f>
        <v>610</v>
      </c>
      <c r="U13" s="40">
        <v>0</v>
      </c>
      <c r="V13" s="102"/>
      <c r="W13" s="38">
        <v>0</v>
      </c>
      <c r="X13" s="62">
        <f t="shared" si="1"/>
        <v>667274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2984750</v>
      </c>
      <c r="I15" s="40">
        <v>5</v>
      </c>
      <c r="J15" s="102"/>
      <c r="K15" s="38">
        <f>I15*J12</f>
        <v>129505</v>
      </c>
      <c r="L15" s="40">
        <v>14</v>
      </c>
      <c r="M15" s="102"/>
      <c r="N15" s="38">
        <f>L15*M12</f>
        <v>121492</v>
      </c>
      <c r="O15" s="40">
        <v>5</v>
      </c>
      <c r="P15" s="102"/>
      <c r="Q15" s="38">
        <f>O15*P12</f>
        <v>1390</v>
      </c>
      <c r="R15" s="40">
        <v>14</v>
      </c>
      <c r="S15" s="102"/>
      <c r="T15" s="38">
        <f>R15*S12</f>
        <v>4270</v>
      </c>
      <c r="U15" s="40">
        <v>0</v>
      </c>
      <c r="V15" s="102"/>
      <c r="W15" s="38">
        <v>0</v>
      </c>
      <c r="X15" s="62">
        <f t="shared" si="1"/>
        <v>3241407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596950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17062</v>
      </c>
      <c r="X16" s="62">
        <f>T16+Q16+N16+K16+H16+W16</f>
        <v>614012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462636.25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462636.25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9401962.5</v>
      </c>
      <c r="I18" s="41">
        <f t="shared" si="6"/>
        <v>10</v>
      </c>
      <c r="J18" s="103"/>
      <c r="K18" s="41">
        <f t="shared" si="6"/>
        <v>259010</v>
      </c>
      <c r="L18" s="41">
        <f t="shared" si="6"/>
        <v>19</v>
      </c>
      <c r="M18" s="103"/>
      <c r="N18" s="41">
        <f t="shared" ref="N18:R18" si="7">SUM(N12:N17)</f>
        <v>164882</v>
      </c>
      <c r="O18" s="41">
        <f t="shared" si="7"/>
        <v>10</v>
      </c>
      <c r="P18" s="103"/>
      <c r="Q18" s="41">
        <f t="shared" si="7"/>
        <v>2780</v>
      </c>
      <c r="R18" s="41">
        <f t="shared" si="7"/>
        <v>19</v>
      </c>
      <c r="S18" s="103"/>
      <c r="T18" s="41">
        <f t="shared" ref="T18:W18" si="8">SUM(T12:T17)</f>
        <v>5795</v>
      </c>
      <c r="U18" s="41">
        <f t="shared" si="8"/>
        <v>19</v>
      </c>
      <c r="V18" s="103"/>
      <c r="W18" s="41">
        <f t="shared" si="8"/>
        <v>17062</v>
      </c>
      <c r="X18" s="63">
        <f>T18+Q18+N18+K18+H18+W18</f>
        <v>9851491.5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307780</v>
      </c>
      <c r="H20" s="38">
        <f>F20*G20</f>
        <v>4909091</v>
      </c>
      <c r="I20" s="46">
        <v>3</v>
      </c>
      <c r="J20" s="101">
        <f>E45</f>
        <v>25123</v>
      </c>
      <c r="K20" s="38">
        <f>I20*J20</f>
        <v>75369</v>
      </c>
      <c r="L20" s="46">
        <v>3</v>
      </c>
      <c r="M20" s="101">
        <f>F45</f>
        <v>8456</v>
      </c>
      <c r="N20" s="38">
        <f>L20*M20</f>
        <v>25368</v>
      </c>
      <c r="O20" s="46">
        <v>3</v>
      </c>
      <c r="P20" s="101">
        <f>H45</f>
        <v>270</v>
      </c>
      <c r="Q20" s="38">
        <f>O20*P20</f>
        <v>810</v>
      </c>
      <c r="R20" s="46">
        <v>3</v>
      </c>
      <c r="S20" s="101">
        <f>I45</f>
        <v>300</v>
      </c>
      <c r="T20" s="38">
        <f>R20*S20</f>
        <v>900</v>
      </c>
      <c r="U20" s="46">
        <v>0</v>
      </c>
      <c r="V20" s="101">
        <f>SUM((G45:I45))</f>
        <v>880</v>
      </c>
      <c r="W20" s="38">
        <v>0</v>
      </c>
      <c r="X20" s="62">
        <f t="shared" si="5"/>
        <v>5011538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615560</v>
      </c>
      <c r="I21" s="40">
        <v>2</v>
      </c>
      <c r="J21" s="102"/>
      <c r="K21" s="38">
        <f>I21*J20</f>
        <v>50246</v>
      </c>
      <c r="L21" s="40">
        <v>2</v>
      </c>
      <c r="M21" s="102"/>
      <c r="N21" s="38">
        <f>L21*M20</f>
        <v>16912</v>
      </c>
      <c r="O21" s="40">
        <v>2</v>
      </c>
      <c r="P21" s="102"/>
      <c r="Q21" s="38">
        <f>O21*P20</f>
        <v>540</v>
      </c>
      <c r="R21" s="40">
        <v>2</v>
      </c>
      <c r="S21" s="102"/>
      <c r="T21" s="38">
        <f>R21*S20</f>
        <v>600</v>
      </c>
      <c r="U21" s="40">
        <v>0</v>
      </c>
      <c r="V21" s="102"/>
      <c r="W21" s="38">
        <v>0</v>
      </c>
      <c r="X21" s="62">
        <f t="shared" si="5"/>
        <v>683858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3077800</v>
      </c>
      <c r="I23" s="40">
        <v>5</v>
      </c>
      <c r="J23" s="102"/>
      <c r="K23" s="38">
        <f>I23*J20</f>
        <v>125615</v>
      </c>
      <c r="L23" s="40">
        <v>14</v>
      </c>
      <c r="M23" s="102"/>
      <c r="N23" s="38">
        <f>L23*M20</f>
        <v>118384</v>
      </c>
      <c r="O23" s="40">
        <v>5</v>
      </c>
      <c r="P23" s="102"/>
      <c r="Q23" s="38">
        <f>O23*P20</f>
        <v>1350</v>
      </c>
      <c r="R23" s="40">
        <v>14</v>
      </c>
      <c r="S23" s="102"/>
      <c r="T23" s="38">
        <f>R23*S20</f>
        <v>4200</v>
      </c>
      <c r="U23" s="40">
        <v>0</v>
      </c>
      <c r="V23" s="102"/>
      <c r="W23" s="38">
        <v>0</v>
      </c>
      <c r="X23" s="62">
        <f t="shared" si="5"/>
        <v>3327349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615560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16720</v>
      </c>
      <c r="X24" s="62">
        <f>T24+Q24+N24+K24+H24+W24</f>
        <v>632280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477059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477059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9695070</v>
      </c>
      <c r="I26" s="43">
        <f t="shared" si="9"/>
        <v>10</v>
      </c>
      <c r="J26" s="104"/>
      <c r="K26" s="43">
        <f t="shared" si="9"/>
        <v>251230</v>
      </c>
      <c r="L26" s="43">
        <f t="shared" si="9"/>
        <v>19</v>
      </c>
      <c r="M26" s="104"/>
      <c r="N26" s="43">
        <f t="shared" ref="N26:R26" si="10">SUM(N20:N25)</f>
        <v>160664</v>
      </c>
      <c r="O26" s="43">
        <f t="shared" si="10"/>
        <v>10</v>
      </c>
      <c r="P26" s="104"/>
      <c r="Q26" s="43">
        <f t="shared" si="10"/>
        <v>2700</v>
      </c>
      <c r="R26" s="43">
        <f t="shared" si="10"/>
        <v>19</v>
      </c>
      <c r="S26" s="104"/>
      <c r="T26" s="43">
        <f t="shared" ref="T26:W26" si="11">SUM(T20:T25)</f>
        <v>5700</v>
      </c>
      <c r="U26" s="43">
        <f t="shared" si="11"/>
        <v>19</v>
      </c>
      <c r="V26" s="104"/>
      <c r="W26" s="43">
        <f t="shared" si="11"/>
        <v>16720</v>
      </c>
      <c r="X26" s="65">
        <f>T26+Q26+N26+K26+H26+W26</f>
        <v>10132084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391024.85</v>
      </c>
      <c r="E31" s="22">
        <f t="shared" ref="E31:E34" si="12">X4</f>
        <v>5041711.5</v>
      </c>
      <c r="F31" s="22">
        <f t="shared" ref="F31:F34" si="13">E31-D31</f>
        <v>4650686.6500000004</v>
      </c>
      <c r="G31" s="22">
        <f t="shared" ref="G31:G34" si="14">X12</f>
        <v>4866162.25</v>
      </c>
      <c r="H31" s="22">
        <f t="shared" ref="H31:H34" si="15">G31-D31</f>
        <v>4475137.4000000004</v>
      </c>
      <c r="I31" s="22">
        <f t="shared" ref="I31:I34" si="16">X20</f>
        <v>5011538</v>
      </c>
      <c r="J31" s="50">
        <f t="shared" ref="J31:J34" si="17">I31-D31</f>
        <v>4620513.1500000004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78943.210000000006</v>
      </c>
      <c r="E32" s="22">
        <f t="shared" si="12"/>
        <v>691110</v>
      </c>
      <c r="F32" s="22">
        <f t="shared" si="13"/>
        <v>612166.79</v>
      </c>
      <c r="G32" s="22">
        <f t="shared" si="14"/>
        <v>667274</v>
      </c>
      <c r="H32" s="22">
        <f t="shared" si="15"/>
        <v>588330.79</v>
      </c>
      <c r="I32" s="22">
        <f t="shared" si="16"/>
        <v>683858</v>
      </c>
      <c r="J32" s="50">
        <f t="shared" si="17"/>
        <v>604914.79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345678.9</v>
      </c>
      <c r="E33" s="22">
        <f>X7+X8</f>
        <v>3992949</v>
      </c>
      <c r="F33" s="22">
        <f t="shared" si="13"/>
        <v>3647270.1</v>
      </c>
      <c r="G33" s="22">
        <f>X15+X16</f>
        <v>3855419</v>
      </c>
      <c r="H33" s="22">
        <f t="shared" si="15"/>
        <v>3509740.1</v>
      </c>
      <c r="I33" s="22">
        <f>X23+X24</f>
        <v>3959629</v>
      </c>
      <c r="J33" s="50">
        <f t="shared" si="17"/>
        <v>3613950.1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321274.96999999997</v>
      </c>
      <c r="E34" s="22">
        <f t="shared" si="12"/>
        <v>3357024</v>
      </c>
      <c r="F34" s="22">
        <f t="shared" si="13"/>
        <v>3035749.03</v>
      </c>
      <c r="G34" s="22">
        <f t="shared" si="14"/>
        <v>3241407</v>
      </c>
      <c r="H34" s="22">
        <f t="shared" si="15"/>
        <v>2920132.03</v>
      </c>
      <c r="I34" s="22">
        <f t="shared" si="16"/>
        <v>3327349</v>
      </c>
      <c r="J34" s="50">
        <f t="shared" si="17"/>
        <v>3006074.03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24403.930000000099</v>
      </c>
      <c r="E35" s="22">
        <f t="shared" si="18"/>
        <v>635925</v>
      </c>
      <c r="F35" s="22">
        <f t="shared" si="18"/>
        <v>611521.06999999995</v>
      </c>
      <c r="G35" s="22">
        <f t="shared" si="18"/>
        <v>614012</v>
      </c>
      <c r="H35" s="22">
        <f t="shared" si="18"/>
        <v>589608.06999999995</v>
      </c>
      <c r="I35" s="22">
        <f t="shared" si="18"/>
        <v>632280</v>
      </c>
      <c r="J35" s="50">
        <f t="shared" si="18"/>
        <v>607876.06999999995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38535.21</v>
      </c>
      <c r="E36" s="22">
        <f>X9</f>
        <v>479368.5</v>
      </c>
      <c r="F36" s="22">
        <f>E36-D36</f>
        <v>440833.29</v>
      </c>
      <c r="G36" s="22">
        <f>X17</f>
        <v>462636.25</v>
      </c>
      <c r="H36" s="22">
        <f>G36-D36</f>
        <v>424101.04</v>
      </c>
      <c r="I36" s="22">
        <f>X25</f>
        <v>477059</v>
      </c>
      <c r="J36" s="50">
        <f>I36-D36</f>
        <v>438523.79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854182.17</v>
      </c>
      <c r="E37" s="22">
        <f>X10</f>
        <v>10205139</v>
      </c>
      <c r="F37" s="22">
        <f>E37-D37</f>
        <v>9350956.8300000001</v>
      </c>
      <c r="G37" s="22">
        <f>X18</f>
        <v>9851491.5</v>
      </c>
      <c r="H37" s="22">
        <f>G37-D37</f>
        <v>8997309.3300000001</v>
      </c>
      <c r="I37" s="22">
        <f>X26</f>
        <v>10132084</v>
      </c>
      <c r="J37" s="50">
        <f>I37-D37</f>
        <v>9277901.8300000001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9402125.8300000001</v>
      </c>
      <c r="G38" s="18"/>
      <c r="H38" s="22">
        <f>H37+C48+C49</f>
        <v>9048478.3300000001</v>
      </c>
      <c r="I38" s="18"/>
      <c r="J38" s="50">
        <f>J37+C48+C49</f>
        <v>9329070.8300000001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309270</v>
      </c>
      <c r="C43" s="21">
        <v>26987</v>
      </c>
      <c r="D43" s="25">
        <v>245678</v>
      </c>
      <c r="E43" s="21">
        <v>26789</v>
      </c>
      <c r="F43" s="21">
        <v>8901</v>
      </c>
      <c r="G43" s="21">
        <v>320</v>
      </c>
      <c r="H43" s="21">
        <v>285</v>
      </c>
      <c r="I43" s="52">
        <v>310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298475</v>
      </c>
      <c r="C44" s="21">
        <v>26209</v>
      </c>
      <c r="D44" s="25">
        <v>236789</v>
      </c>
      <c r="E44" s="21">
        <v>25901</v>
      </c>
      <c r="F44" s="21">
        <v>8678</v>
      </c>
      <c r="G44" s="21">
        <v>315</v>
      </c>
      <c r="H44" s="21">
        <v>278</v>
      </c>
      <c r="I44" s="52">
        <v>305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307780</v>
      </c>
      <c r="C45" s="28">
        <v>25431</v>
      </c>
      <c r="D45" s="29">
        <v>247890</v>
      </c>
      <c r="E45" s="28">
        <v>25123</v>
      </c>
      <c r="F45" s="28">
        <v>8456</v>
      </c>
      <c r="G45" s="28">
        <v>310</v>
      </c>
      <c r="H45" s="28">
        <v>270</v>
      </c>
      <c r="I45" s="53">
        <v>300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38724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12445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5"/>
  <sheetViews>
    <sheetView zoomScale="60" zoomScaleNormal="60" workbookViewId="0">
      <selection activeCell="J42" sqref="J42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75</v>
      </c>
      <c r="C1" s="70"/>
      <c r="D1" s="70" t="s">
        <v>2</v>
      </c>
      <c r="E1" s="70" t="s">
        <v>76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306419</v>
      </c>
      <c r="H4" s="38">
        <f>F4*G4</f>
        <v>4887383.05</v>
      </c>
      <c r="I4" s="45">
        <v>3</v>
      </c>
      <c r="J4" s="101">
        <f>E43</f>
        <v>26678</v>
      </c>
      <c r="K4" s="38">
        <f>I4*J4</f>
        <v>80034</v>
      </c>
      <c r="L4" s="45">
        <v>3</v>
      </c>
      <c r="M4" s="101">
        <f>F43</f>
        <v>9123</v>
      </c>
      <c r="N4" s="38">
        <f>L4*M4</f>
        <v>27369</v>
      </c>
      <c r="O4" s="46">
        <v>3</v>
      </c>
      <c r="P4" s="101">
        <f>H43</f>
        <v>288</v>
      </c>
      <c r="Q4" s="38">
        <f>O4*P4</f>
        <v>864</v>
      </c>
      <c r="R4" s="46">
        <v>3</v>
      </c>
      <c r="S4" s="101">
        <f>I43</f>
        <v>315</v>
      </c>
      <c r="T4" s="38">
        <f>R4*S4</f>
        <v>945</v>
      </c>
      <c r="U4" s="46">
        <v>0</v>
      </c>
      <c r="V4" s="101">
        <f>SUM(G43:I43)</f>
        <v>928</v>
      </c>
      <c r="W4" s="38">
        <v>0</v>
      </c>
      <c r="X4" s="62">
        <f t="shared" ref="X4:X7" si="0">T4+Q4+N4+K4+H4</f>
        <v>4996595.05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612838</v>
      </c>
      <c r="I5" s="45">
        <v>2</v>
      </c>
      <c r="J5" s="102"/>
      <c r="K5" s="38">
        <f>I5*J4</f>
        <v>53356</v>
      </c>
      <c r="L5" s="45">
        <v>2</v>
      </c>
      <c r="M5" s="102"/>
      <c r="N5" s="38">
        <f>L5*M4</f>
        <v>18246</v>
      </c>
      <c r="O5" s="40">
        <v>2</v>
      </c>
      <c r="P5" s="102"/>
      <c r="Q5" s="38">
        <f>O5*P4</f>
        <v>576</v>
      </c>
      <c r="R5" s="40">
        <v>2</v>
      </c>
      <c r="S5" s="102"/>
      <c r="T5" s="38">
        <f>R5*S4</f>
        <v>630</v>
      </c>
      <c r="U5" s="40">
        <v>0</v>
      </c>
      <c r="V5" s="102"/>
      <c r="W5" s="38">
        <v>0</v>
      </c>
      <c r="X5" s="62">
        <f t="shared" si="0"/>
        <v>685646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3064190</v>
      </c>
      <c r="I7" s="45">
        <v>5</v>
      </c>
      <c r="J7" s="102"/>
      <c r="K7" s="38">
        <f>I7*J4</f>
        <v>133390</v>
      </c>
      <c r="L7" s="45">
        <v>14</v>
      </c>
      <c r="M7" s="102"/>
      <c r="N7" s="38">
        <f>L7*M4</f>
        <v>127722</v>
      </c>
      <c r="O7" s="40">
        <v>5</v>
      </c>
      <c r="P7" s="102"/>
      <c r="Q7" s="38">
        <f>O7*P4</f>
        <v>1440</v>
      </c>
      <c r="R7" s="40">
        <v>14</v>
      </c>
      <c r="S7" s="102"/>
      <c r="T7" s="38">
        <f>R7*S4</f>
        <v>4410</v>
      </c>
      <c r="U7" s="40">
        <v>0</v>
      </c>
      <c r="V7" s="102"/>
      <c r="W7" s="38">
        <v>0</v>
      </c>
      <c r="X7" s="62">
        <f t="shared" si="0"/>
        <v>3331152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612838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17632</v>
      </c>
      <c r="X8" s="62">
        <f>T8+Q8+N8+K8+H8+W8</f>
        <v>630470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474949.45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474949.45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9652198.5</v>
      </c>
      <c r="I10" s="41">
        <f t="shared" si="2"/>
        <v>10</v>
      </c>
      <c r="J10" s="103"/>
      <c r="K10" s="41">
        <f t="shared" si="2"/>
        <v>266780</v>
      </c>
      <c r="L10" s="41">
        <f t="shared" si="2"/>
        <v>19</v>
      </c>
      <c r="M10" s="103"/>
      <c r="N10" s="41">
        <f t="shared" ref="N10:R10" si="3">SUM(N4:N9)</f>
        <v>173337</v>
      </c>
      <c r="O10" s="41">
        <f t="shared" si="3"/>
        <v>10</v>
      </c>
      <c r="P10" s="103"/>
      <c r="Q10" s="41">
        <f t="shared" si="3"/>
        <v>2880</v>
      </c>
      <c r="R10" s="41">
        <f t="shared" si="3"/>
        <v>19</v>
      </c>
      <c r="S10" s="103"/>
      <c r="T10" s="41">
        <f t="shared" ref="T10:W10" si="4">SUM(T4:T9)</f>
        <v>5985</v>
      </c>
      <c r="U10" s="41">
        <f t="shared" si="4"/>
        <v>19</v>
      </c>
      <c r="V10" s="103"/>
      <c r="W10" s="41">
        <f t="shared" si="4"/>
        <v>17632</v>
      </c>
      <c r="X10" s="63">
        <f>T10+Q10+N10+K10+H10+W10</f>
        <v>10118812.5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312824</v>
      </c>
      <c r="H12" s="38">
        <f>F12*G12</f>
        <v>4989542.8</v>
      </c>
      <c r="I12" s="46">
        <v>3</v>
      </c>
      <c r="J12" s="101">
        <f>E44</f>
        <v>25890</v>
      </c>
      <c r="K12" s="38">
        <f>I12*J12</f>
        <v>77670</v>
      </c>
      <c r="L12" s="46">
        <v>3</v>
      </c>
      <c r="M12" s="101">
        <f>F44</f>
        <v>8890</v>
      </c>
      <c r="N12" s="38">
        <f>L12*M12</f>
        <v>26670</v>
      </c>
      <c r="O12" s="46">
        <v>3</v>
      </c>
      <c r="P12" s="101">
        <f>H44</f>
        <v>280</v>
      </c>
      <c r="Q12" s="38">
        <f>O12*P12</f>
        <v>840</v>
      </c>
      <c r="R12" s="46">
        <v>3</v>
      </c>
      <c r="S12" s="101">
        <f>I44</f>
        <v>310</v>
      </c>
      <c r="T12" s="38">
        <f>R12*S12</f>
        <v>930</v>
      </c>
      <c r="U12" s="46">
        <v>0</v>
      </c>
      <c r="V12" s="101">
        <f>SUM(G44:I44)</f>
        <v>910</v>
      </c>
      <c r="W12" s="38">
        <v>0</v>
      </c>
      <c r="X12" s="62">
        <f t="shared" si="1"/>
        <v>5095652.8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625648</v>
      </c>
      <c r="I13" s="40">
        <v>2</v>
      </c>
      <c r="J13" s="102"/>
      <c r="K13" s="38">
        <f>I13*J12</f>
        <v>51780</v>
      </c>
      <c r="L13" s="40">
        <v>2</v>
      </c>
      <c r="M13" s="102"/>
      <c r="N13" s="38">
        <f>L13*M12</f>
        <v>17780</v>
      </c>
      <c r="O13" s="40">
        <v>2</v>
      </c>
      <c r="P13" s="102"/>
      <c r="Q13" s="38">
        <f>O13*P12</f>
        <v>560</v>
      </c>
      <c r="R13" s="40">
        <v>2</v>
      </c>
      <c r="S13" s="102"/>
      <c r="T13" s="38">
        <f>R13*S12</f>
        <v>620</v>
      </c>
      <c r="U13" s="40">
        <v>0</v>
      </c>
      <c r="V13" s="102"/>
      <c r="W13" s="38">
        <v>0</v>
      </c>
      <c r="X13" s="62">
        <f t="shared" si="1"/>
        <v>696388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3128240</v>
      </c>
      <c r="I15" s="40">
        <v>5</v>
      </c>
      <c r="J15" s="102"/>
      <c r="K15" s="38">
        <f>I15*J12</f>
        <v>129450</v>
      </c>
      <c r="L15" s="40">
        <v>14</v>
      </c>
      <c r="M15" s="102"/>
      <c r="N15" s="38">
        <f>L15*M12</f>
        <v>124460</v>
      </c>
      <c r="O15" s="40">
        <v>5</v>
      </c>
      <c r="P15" s="102"/>
      <c r="Q15" s="38">
        <f>O15*P12</f>
        <v>1400</v>
      </c>
      <c r="R15" s="40">
        <v>14</v>
      </c>
      <c r="S15" s="102"/>
      <c r="T15" s="38">
        <f>R15*S12</f>
        <v>4340</v>
      </c>
      <c r="U15" s="40">
        <v>0</v>
      </c>
      <c r="V15" s="102"/>
      <c r="W15" s="38">
        <v>0</v>
      </c>
      <c r="X15" s="62">
        <f t="shared" si="1"/>
        <v>3387890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625648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17290</v>
      </c>
      <c r="X16" s="62">
        <f>T16+Q16+N16+K16+H16+W16</f>
        <v>642938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484877.2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484877.2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9853956</v>
      </c>
      <c r="I18" s="41">
        <f t="shared" si="6"/>
        <v>10</v>
      </c>
      <c r="J18" s="103"/>
      <c r="K18" s="41">
        <f t="shared" si="6"/>
        <v>258900</v>
      </c>
      <c r="L18" s="41">
        <f t="shared" si="6"/>
        <v>19</v>
      </c>
      <c r="M18" s="103"/>
      <c r="N18" s="41">
        <f t="shared" ref="N18:R18" si="7">SUM(N12:N17)</f>
        <v>168910</v>
      </c>
      <c r="O18" s="41">
        <f t="shared" si="7"/>
        <v>10</v>
      </c>
      <c r="P18" s="103"/>
      <c r="Q18" s="41">
        <f t="shared" si="7"/>
        <v>2800</v>
      </c>
      <c r="R18" s="41">
        <f t="shared" si="7"/>
        <v>19</v>
      </c>
      <c r="S18" s="103"/>
      <c r="T18" s="41">
        <f t="shared" ref="T18:W18" si="8">SUM(T12:T17)</f>
        <v>5890</v>
      </c>
      <c r="U18" s="41">
        <f t="shared" si="8"/>
        <v>19</v>
      </c>
      <c r="V18" s="103"/>
      <c r="W18" s="41">
        <f t="shared" si="8"/>
        <v>17290</v>
      </c>
      <c r="X18" s="63">
        <f>T18+Q18+N18+K18+H18+W18</f>
        <v>10307746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278863</v>
      </c>
      <c r="H20" s="38">
        <f>F20*G20</f>
        <v>4447864.8499999996</v>
      </c>
      <c r="I20" s="46">
        <v>3</v>
      </c>
      <c r="J20" s="101">
        <f>E45</f>
        <v>24890</v>
      </c>
      <c r="K20" s="38">
        <f>I20*J20</f>
        <v>74670</v>
      </c>
      <c r="L20" s="46">
        <v>3</v>
      </c>
      <c r="M20" s="101">
        <f>F45</f>
        <v>6987</v>
      </c>
      <c r="N20" s="38">
        <f>L20*M20</f>
        <v>20961</v>
      </c>
      <c r="O20" s="46">
        <v>3</v>
      </c>
      <c r="P20" s="101">
        <f>H45</f>
        <v>243</v>
      </c>
      <c r="Q20" s="38">
        <f>O20*P20</f>
        <v>729</v>
      </c>
      <c r="R20" s="46">
        <v>3</v>
      </c>
      <c r="S20" s="101">
        <f>I45</f>
        <v>257</v>
      </c>
      <c r="T20" s="38">
        <f>R20*S20</f>
        <v>771</v>
      </c>
      <c r="U20" s="46">
        <v>0</v>
      </c>
      <c r="V20" s="101">
        <f>SUM((G45:I45))</f>
        <v>765</v>
      </c>
      <c r="W20" s="38">
        <v>0</v>
      </c>
      <c r="X20" s="62">
        <f t="shared" si="5"/>
        <v>4544995.8499999996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557726</v>
      </c>
      <c r="I21" s="40">
        <v>2</v>
      </c>
      <c r="J21" s="102"/>
      <c r="K21" s="38">
        <f>I21*J20</f>
        <v>49780</v>
      </c>
      <c r="L21" s="40">
        <v>2</v>
      </c>
      <c r="M21" s="102"/>
      <c r="N21" s="38">
        <f>L21*M20</f>
        <v>13974</v>
      </c>
      <c r="O21" s="40">
        <v>2</v>
      </c>
      <c r="P21" s="102"/>
      <c r="Q21" s="38">
        <f>O21*P20</f>
        <v>486</v>
      </c>
      <c r="R21" s="40">
        <v>2</v>
      </c>
      <c r="S21" s="102"/>
      <c r="T21" s="38">
        <f>R21*S20</f>
        <v>514</v>
      </c>
      <c r="U21" s="40">
        <v>0</v>
      </c>
      <c r="V21" s="102"/>
      <c r="W21" s="38">
        <v>0</v>
      </c>
      <c r="X21" s="62">
        <f t="shared" si="5"/>
        <v>622480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2788630</v>
      </c>
      <c r="I23" s="40">
        <v>5</v>
      </c>
      <c r="J23" s="102"/>
      <c r="K23" s="38">
        <f>I23*J20</f>
        <v>124450</v>
      </c>
      <c r="L23" s="40">
        <v>14</v>
      </c>
      <c r="M23" s="102"/>
      <c r="N23" s="38">
        <f>L23*M20</f>
        <v>97818</v>
      </c>
      <c r="O23" s="40">
        <v>5</v>
      </c>
      <c r="P23" s="102"/>
      <c r="Q23" s="38">
        <f>O23*P20</f>
        <v>1215</v>
      </c>
      <c r="R23" s="40">
        <v>14</v>
      </c>
      <c r="S23" s="102"/>
      <c r="T23" s="38">
        <f>R23*S20</f>
        <v>3598</v>
      </c>
      <c r="U23" s="40">
        <v>0</v>
      </c>
      <c r="V23" s="102"/>
      <c r="W23" s="38">
        <v>0</v>
      </c>
      <c r="X23" s="62">
        <f t="shared" si="5"/>
        <v>3015711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557726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14535</v>
      </c>
      <c r="X24" s="62">
        <f>T24+Q24+N24+K24+H24+W24</f>
        <v>572261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432237.65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432237.65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8784184.5</v>
      </c>
      <c r="I26" s="43">
        <f t="shared" si="9"/>
        <v>10</v>
      </c>
      <c r="J26" s="104"/>
      <c r="K26" s="43">
        <f t="shared" si="9"/>
        <v>248900</v>
      </c>
      <c r="L26" s="43">
        <f t="shared" si="9"/>
        <v>19</v>
      </c>
      <c r="M26" s="104"/>
      <c r="N26" s="43">
        <f t="shared" ref="N26:R26" si="10">SUM(N20:N25)</f>
        <v>132753</v>
      </c>
      <c r="O26" s="43">
        <f t="shared" si="10"/>
        <v>10</v>
      </c>
      <c r="P26" s="104"/>
      <c r="Q26" s="43">
        <f t="shared" si="10"/>
        <v>2430</v>
      </c>
      <c r="R26" s="43">
        <f t="shared" si="10"/>
        <v>19</v>
      </c>
      <c r="S26" s="104"/>
      <c r="T26" s="43">
        <f t="shared" ref="T26:W26" si="11">SUM(T20:T25)</f>
        <v>4883</v>
      </c>
      <c r="U26" s="43">
        <f t="shared" si="11"/>
        <v>19</v>
      </c>
      <c r="V26" s="104"/>
      <c r="W26" s="43">
        <f t="shared" si="11"/>
        <v>14535</v>
      </c>
      <c r="X26" s="65">
        <f>T26+Q26+N26+K26+H26+W26</f>
        <v>9187685.5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337654.32</v>
      </c>
      <c r="E31" s="22">
        <f t="shared" ref="E31:E34" si="12">X4</f>
        <v>4996595.05</v>
      </c>
      <c r="F31" s="22">
        <f t="shared" ref="F31:F34" si="13">E31-D31</f>
        <v>4658940.7300000004</v>
      </c>
      <c r="G31" s="22">
        <f t="shared" ref="G31:G34" si="14">X12</f>
        <v>5095652.8</v>
      </c>
      <c r="H31" s="22">
        <f t="shared" ref="H31:H34" si="15">G31-D31</f>
        <v>4757998.4800000004</v>
      </c>
      <c r="I31" s="22">
        <f t="shared" ref="I31:I34" si="16">X20</f>
        <v>4544995.8499999996</v>
      </c>
      <c r="J31" s="50">
        <f t="shared" ref="J31:J34" si="17">I31-D31</f>
        <v>4207341.53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66543.210000000006</v>
      </c>
      <c r="E32" s="22">
        <f t="shared" si="12"/>
        <v>685646</v>
      </c>
      <c r="F32" s="22">
        <f t="shared" si="13"/>
        <v>619102.79</v>
      </c>
      <c r="G32" s="22">
        <f t="shared" si="14"/>
        <v>696388</v>
      </c>
      <c r="H32" s="22">
        <f t="shared" si="15"/>
        <v>629844.79</v>
      </c>
      <c r="I32" s="22">
        <f t="shared" si="16"/>
        <v>622480</v>
      </c>
      <c r="J32" s="50">
        <f t="shared" si="17"/>
        <v>555936.79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312345.67</v>
      </c>
      <c r="E33" s="22">
        <f>X7+X8</f>
        <v>3961622</v>
      </c>
      <c r="F33" s="22">
        <f t="shared" si="13"/>
        <v>3649276.33</v>
      </c>
      <c r="G33" s="22">
        <f>X15+X16</f>
        <v>4030828</v>
      </c>
      <c r="H33" s="22">
        <f t="shared" si="15"/>
        <v>3718482.33</v>
      </c>
      <c r="I33" s="22">
        <f>X23+X24</f>
        <v>3587972</v>
      </c>
      <c r="J33" s="50">
        <f t="shared" si="17"/>
        <v>3275626.33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290636.39</v>
      </c>
      <c r="E34" s="22">
        <f t="shared" si="12"/>
        <v>3331152</v>
      </c>
      <c r="F34" s="22">
        <f t="shared" si="13"/>
        <v>3040515.61</v>
      </c>
      <c r="G34" s="22">
        <f t="shared" si="14"/>
        <v>3387890</v>
      </c>
      <c r="H34" s="22">
        <f t="shared" si="15"/>
        <v>3097253.61</v>
      </c>
      <c r="I34" s="22">
        <f t="shared" si="16"/>
        <v>3015711</v>
      </c>
      <c r="J34" s="50">
        <f t="shared" si="17"/>
        <v>2725074.61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21709.279999999999</v>
      </c>
      <c r="E35" s="22">
        <f t="shared" si="18"/>
        <v>630470</v>
      </c>
      <c r="F35" s="22">
        <f t="shared" si="18"/>
        <v>608760.72</v>
      </c>
      <c r="G35" s="22">
        <f t="shared" si="18"/>
        <v>642938</v>
      </c>
      <c r="H35" s="22">
        <f t="shared" si="18"/>
        <v>621228.72</v>
      </c>
      <c r="I35" s="22">
        <f t="shared" si="18"/>
        <v>572261</v>
      </c>
      <c r="J35" s="50">
        <f t="shared" si="18"/>
        <v>550551.72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21410.21</v>
      </c>
      <c r="E36" s="22">
        <f>X9</f>
        <v>474949.45</v>
      </c>
      <c r="F36" s="22">
        <f>E36-D36</f>
        <v>453539.24</v>
      </c>
      <c r="G36" s="22">
        <f>X17</f>
        <v>484877.2</v>
      </c>
      <c r="H36" s="22">
        <f>G36-D36</f>
        <v>463466.99</v>
      </c>
      <c r="I36" s="22">
        <f>X25</f>
        <v>432237.65</v>
      </c>
      <c r="J36" s="50">
        <f>I36-D36</f>
        <v>410827.44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737953.41</v>
      </c>
      <c r="E37" s="22">
        <f>X10</f>
        <v>10118812.5</v>
      </c>
      <c r="F37" s="22">
        <f>E37-D37</f>
        <v>9380859.0899999999</v>
      </c>
      <c r="G37" s="22">
        <f>X18</f>
        <v>10307746</v>
      </c>
      <c r="H37" s="22">
        <f>G37-D37</f>
        <v>9569792.5899999999</v>
      </c>
      <c r="I37" s="22">
        <f>X26</f>
        <v>9187685.5</v>
      </c>
      <c r="J37" s="50">
        <f>I37-D37</f>
        <v>8449732.0899999999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9442983.0899999999</v>
      </c>
      <c r="G38" s="18"/>
      <c r="H38" s="22">
        <f>H37+C48+C49</f>
        <v>9631916.5899999999</v>
      </c>
      <c r="I38" s="18"/>
      <c r="J38" s="50">
        <f>J37+C48+C49</f>
        <v>8511856.0899999999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306419</v>
      </c>
      <c r="C43" s="21">
        <v>27345</v>
      </c>
      <c r="D43" s="25">
        <v>242345</v>
      </c>
      <c r="E43" s="21">
        <v>26678</v>
      </c>
      <c r="F43" s="21">
        <v>9123</v>
      </c>
      <c r="G43" s="21">
        <v>325</v>
      </c>
      <c r="H43" s="21">
        <v>288</v>
      </c>
      <c r="I43" s="52">
        <v>315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312824</v>
      </c>
      <c r="C44" s="21">
        <v>26567</v>
      </c>
      <c r="D44" s="25">
        <v>250567</v>
      </c>
      <c r="E44" s="21">
        <v>25890</v>
      </c>
      <c r="F44" s="21">
        <v>8890</v>
      </c>
      <c r="G44" s="21">
        <v>320</v>
      </c>
      <c r="H44" s="21">
        <v>280</v>
      </c>
      <c r="I44" s="52">
        <v>310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278863</v>
      </c>
      <c r="C45" s="28">
        <v>26345</v>
      </c>
      <c r="D45" s="29">
        <v>219876</v>
      </c>
      <c r="E45" s="28">
        <v>24890</v>
      </c>
      <c r="F45" s="28">
        <v>6987</v>
      </c>
      <c r="G45" s="28">
        <v>265</v>
      </c>
      <c r="H45" s="28">
        <v>243</v>
      </c>
      <c r="I45" s="53">
        <v>257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38724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23400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5"/>
  <sheetViews>
    <sheetView zoomScale="60" zoomScaleNormal="60" workbookViewId="0">
      <selection activeCell="J34" sqref="J34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77</v>
      </c>
      <c r="C1" s="70"/>
      <c r="D1" s="70" t="s">
        <v>2</v>
      </c>
      <c r="E1" s="70" t="s">
        <v>78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265857</v>
      </c>
      <c r="H4" s="38">
        <f>F4*G4</f>
        <v>4240419.1500000004</v>
      </c>
      <c r="I4" s="45">
        <v>3</v>
      </c>
      <c r="J4" s="101">
        <f>E43</f>
        <v>24012</v>
      </c>
      <c r="K4" s="38">
        <f>I4*J4</f>
        <v>72036</v>
      </c>
      <c r="L4" s="45">
        <v>3</v>
      </c>
      <c r="M4" s="101">
        <f>F43</f>
        <v>6765</v>
      </c>
      <c r="N4" s="38">
        <f>L4*M4</f>
        <v>20295</v>
      </c>
      <c r="O4" s="46">
        <v>3</v>
      </c>
      <c r="P4" s="101">
        <f>H43</f>
        <v>236</v>
      </c>
      <c r="Q4" s="38">
        <f>O4*P4</f>
        <v>708</v>
      </c>
      <c r="R4" s="46">
        <v>3</v>
      </c>
      <c r="S4" s="101">
        <f>I43</f>
        <v>252</v>
      </c>
      <c r="T4" s="38">
        <f>R4*S4</f>
        <v>756</v>
      </c>
      <c r="U4" s="46">
        <v>0</v>
      </c>
      <c r="V4" s="101">
        <f>SUM(G43:I43)</f>
        <v>748</v>
      </c>
      <c r="W4" s="38">
        <v>0</v>
      </c>
      <c r="X4" s="62">
        <f t="shared" ref="X4:X7" si="0">T4+Q4+N4+K4+H4</f>
        <v>4334214.1500000004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531714</v>
      </c>
      <c r="I5" s="45">
        <v>2</v>
      </c>
      <c r="J5" s="102"/>
      <c r="K5" s="38">
        <f>I5*J4</f>
        <v>48024</v>
      </c>
      <c r="L5" s="45">
        <v>2</v>
      </c>
      <c r="M5" s="102"/>
      <c r="N5" s="38">
        <f>L5*M4</f>
        <v>13530</v>
      </c>
      <c r="O5" s="40">
        <v>2</v>
      </c>
      <c r="P5" s="102"/>
      <c r="Q5" s="38">
        <f>O5*P4</f>
        <v>472</v>
      </c>
      <c r="R5" s="40">
        <v>2</v>
      </c>
      <c r="S5" s="102"/>
      <c r="T5" s="38">
        <f>R5*S4</f>
        <v>504</v>
      </c>
      <c r="U5" s="40">
        <v>0</v>
      </c>
      <c r="V5" s="102"/>
      <c r="W5" s="38">
        <v>0</v>
      </c>
      <c r="X5" s="62">
        <f t="shared" si="0"/>
        <v>594244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2658570</v>
      </c>
      <c r="I7" s="45">
        <v>5</v>
      </c>
      <c r="J7" s="102"/>
      <c r="K7" s="38">
        <f>I7*J4</f>
        <v>120060</v>
      </c>
      <c r="L7" s="45">
        <v>14</v>
      </c>
      <c r="M7" s="102"/>
      <c r="N7" s="38">
        <f>L7*M4</f>
        <v>94710</v>
      </c>
      <c r="O7" s="40">
        <v>5</v>
      </c>
      <c r="P7" s="102"/>
      <c r="Q7" s="38">
        <f>O7*P4</f>
        <v>1180</v>
      </c>
      <c r="R7" s="40">
        <v>14</v>
      </c>
      <c r="S7" s="102"/>
      <c r="T7" s="38">
        <f>R7*S4</f>
        <v>3528</v>
      </c>
      <c r="U7" s="40">
        <v>0</v>
      </c>
      <c r="V7" s="102"/>
      <c r="W7" s="38">
        <v>0</v>
      </c>
      <c r="X7" s="62">
        <f t="shared" si="0"/>
        <v>2878048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531714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14212</v>
      </c>
      <c r="X8" s="62">
        <f>T8+Q8+N8+K8+H8+W8</f>
        <v>545926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412078.35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412078.35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8374495.5</v>
      </c>
      <c r="I10" s="41">
        <f t="shared" si="2"/>
        <v>10</v>
      </c>
      <c r="J10" s="103"/>
      <c r="K10" s="41">
        <f t="shared" si="2"/>
        <v>240120</v>
      </c>
      <c r="L10" s="41">
        <f t="shared" si="2"/>
        <v>19</v>
      </c>
      <c r="M10" s="103"/>
      <c r="N10" s="41">
        <f t="shared" ref="N10:R10" si="3">SUM(N4:N9)</f>
        <v>128535</v>
      </c>
      <c r="O10" s="41">
        <f t="shared" si="3"/>
        <v>10</v>
      </c>
      <c r="P10" s="103"/>
      <c r="Q10" s="41">
        <f t="shared" si="3"/>
        <v>2360</v>
      </c>
      <c r="R10" s="41">
        <f t="shared" si="3"/>
        <v>19</v>
      </c>
      <c r="S10" s="103"/>
      <c r="T10" s="41">
        <f t="shared" ref="T10:W10" si="4">SUM(T4:T9)</f>
        <v>4788</v>
      </c>
      <c r="U10" s="41">
        <f t="shared" si="4"/>
        <v>19</v>
      </c>
      <c r="V10" s="103"/>
      <c r="W10" s="41">
        <f t="shared" si="4"/>
        <v>14212</v>
      </c>
      <c r="X10" s="63">
        <f>T10+Q10+N10+K10+H10+W10</f>
        <v>8764510.5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270975</v>
      </c>
      <c r="H12" s="38">
        <f>F12*G12</f>
        <v>4322051.25</v>
      </c>
      <c r="I12" s="46">
        <v>3</v>
      </c>
      <c r="J12" s="101">
        <f>E44</f>
        <v>23234</v>
      </c>
      <c r="K12" s="38">
        <f>I12*J12</f>
        <v>69702</v>
      </c>
      <c r="L12" s="46">
        <v>3</v>
      </c>
      <c r="M12" s="101">
        <f>F44</f>
        <v>6543</v>
      </c>
      <c r="N12" s="38">
        <f>L12*M12</f>
        <v>19629</v>
      </c>
      <c r="O12" s="46">
        <v>3</v>
      </c>
      <c r="P12" s="101">
        <f>H44</f>
        <v>229</v>
      </c>
      <c r="Q12" s="38">
        <f>O12*P12</f>
        <v>687</v>
      </c>
      <c r="R12" s="46">
        <v>3</v>
      </c>
      <c r="S12" s="101">
        <f>I44</f>
        <v>247</v>
      </c>
      <c r="T12" s="38">
        <f>R12*S12</f>
        <v>741</v>
      </c>
      <c r="U12" s="46">
        <v>0</v>
      </c>
      <c r="V12" s="101">
        <f>SUM(G44:I44)</f>
        <v>731</v>
      </c>
      <c r="W12" s="38">
        <v>0</v>
      </c>
      <c r="X12" s="62">
        <f t="shared" si="1"/>
        <v>4412810.25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541950</v>
      </c>
      <c r="I13" s="40">
        <v>2</v>
      </c>
      <c r="J13" s="102"/>
      <c r="K13" s="38">
        <f>I13*J12</f>
        <v>46468</v>
      </c>
      <c r="L13" s="40">
        <v>2</v>
      </c>
      <c r="M13" s="102"/>
      <c r="N13" s="38">
        <f>L13*M12</f>
        <v>13086</v>
      </c>
      <c r="O13" s="40">
        <v>2</v>
      </c>
      <c r="P13" s="102"/>
      <c r="Q13" s="38">
        <f>O13*P12</f>
        <v>458</v>
      </c>
      <c r="R13" s="40">
        <v>2</v>
      </c>
      <c r="S13" s="102"/>
      <c r="T13" s="38">
        <f>R13*S12</f>
        <v>494</v>
      </c>
      <c r="U13" s="40">
        <v>0</v>
      </c>
      <c r="V13" s="102"/>
      <c r="W13" s="38">
        <v>0</v>
      </c>
      <c r="X13" s="62">
        <f t="shared" si="1"/>
        <v>602456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2709750</v>
      </c>
      <c r="I15" s="40">
        <v>5</v>
      </c>
      <c r="J15" s="102"/>
      <c r="K15" s="38">
        <f>I15*J12</f>
        <v>116170</v>
      </c>
      <c r="L15" s="40">
        <v>14</v>
      </c>
      <c r="M15" s="102"/>
      <c r="N15" s="38">
        <f>L15*M12</f>
        <v>91602</v>
      </c>
      <c r="O15" s="40">
        <v>5</v>
      </c>
      <c r="P15" s="102"/>
      <c r="Q15" s="38">
        <f>O15*P12</f>
        <v>1145</v>
      </c>
      <c r="R15" s="40">
        <v>14</v>
      </c>
      <c r="S15" s="102"/>
      <c r="T15" s="38">
        <f>R15*S12</f>
        <v>3458</v>
      </c>
      <c r="U15" s="40">
        <v>0</v>
      </c>
      <c r="V15" s="102"/>
      <c r="W15" s="38">
        <v>0</v>
      </c>
      <c r="X15" s="62">
        <f t="shared" si="1"/>
        <v>2922125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541950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13889</v>
      </c>
      <c r="X16" s="62">
        <f>T16+Q16+N16+K16+H16+W16</f>
        <v>555839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420011.25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420011.25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8535712.5</v>
      </c>
      <c r="I18" s="41">
        <f t="shared" si="6"/>
        <v>10</v>
      </c>
      <c r="J18" s="103"/>
      <c r="K18" s="41">
        <f t="shared" si="6"/>
        <v>232340</v>
      </c>
      <c r="L18" s="41">
        <f t="shared" si="6"/>
        <v>19</v>
      </c>
      <c r="M18" s="103"/>
      <c r="N18" s="41">
        <f t="shared" ref="N18:R18" si="7">SUM(N12:N17)</f>
        <v>124317</v>
      </c>
      <c r="O18" s="41">
        <f t="shared" si="7"/>
        <v>10</v>
      </c>
      <c r="P18" s="103"/>
      <c r="Q18" s="41">
        <f t="shared" si="7"/>
        <v>2290</v>
      </c>
      <c r="R18" s="41">
        <f t="shared" si="7"/>
        <v>19</v>
      </c>
      <c r="S18" s="103"/>
      <c r="T18" s="41">
        <f t="shared" ref="T18:W18" si="8">SUM(T12:T17)</f>
        <v>4693</v>
      </c>
      <c r="U18" s="41">
        <f t="shared" si="8"/>
        <v>19</v>
      </c>
      <c r="V18" s="103"/>
      <c r="W18" s="41">
        <f t="shared" si="8"/>
        <v>13889</v>
      </c>
      <c r="X18" s="63">
        <f>T18+Q18+N18+K18+H18+W18</f>
        <v>8913241.5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292703</v>
      </c>
      <c r="H20" s="38">
        <f>F20*G20</f>
        <v>4668612.8499999996</v>
      </c>
      <c r="I20" s="46">
        <v>3</v>
      </c>
      <c r="J20" s="101">
        <f>E45</f>
        <v>25789</v>
      </c>
      <c r="K20" s="38">
        <f>I20*J20</f>
        <v>77367</v>
      </c>
      <c r="L20" s="46">
        <v>3</v>
      </c>
      <c r="M20" s="101">
        <f>F45</f>
        <v>7234</v>
      </c>
      <c r="N20" s="38">
        <f>L20*M20</f>
        <v>21702</v>
      </c>
      <c r="O20" s="46">
        <v>3</v>
      </c>
      <c r="P20" s="101">
        <f>H45</f>
        <v>251</v>
      </c>
      <c r="Q20" s="38">
        <f>O20*P20</f>
        <v>753</v>
      </c>
      <c r="R20" s="46">
        <v>3</v>
      </c>
      <c r="S20" s="101">
        <f>I45</f>
        <v>266</v>
      </c>
      <c r="T20" s="38">
        <f>R20*S20</f>
        <v>798</v>
      </c>
      <c r="U20" s="46">
        <v>0</v>
      </c>
      <c r="V20" s="101">
        <f>SUM((G45:I45))</f>
        <v>792</v>
      </c>
      <c r="W20" s="38">
        <v>0</v>
      </c>
      <c r="X20" s="62">
        <f t="shared" si="5"/>
        <v>4769232.8499999996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585406</v>
      </c>
      <c r="I21" s="40">
        <v>2</v>
      </c>
      <c r="J21" s="102"/>
      <c r="K21" s="38">
        <f>I21*J20</f>
        <v>51578</v>
      </c>
      <c r="L21" s="40">
        <v>2</v>
      </c>
      <c r="M21" s="102"/>
      <c r="N21" s="38">
        <f>L21*M20</f>
        <v>14468</v>
      </c>
      <c r="O21" s="40">
        <v>2</v>
      </c>
      <c r="P21" s="102"/>
      <c r="Q21" s="38">
        <f>O21*P20</f>
        <v>502</v>
      </c>
      <c r="R21" s="40">
        <v>2</v>
      </c>
      <c r="S21" s="102"/>
      <c r="T21" s="38">
        <f>R21*S20</f>
        <v>532</v>
      </c>
      <c r="U21" s="40">
        <v>0</v>
      </c>
      <c r="V21" s="102"/>
      <c r="W21" s="38">
        <v>0</v>
      </c>
      <c r="X21" s="62">
        <f t="shared" si="5"/>
        <v>652486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2927030</v>
      </c>
      <c r="I23" s="40">
        <v>5</v>
      </c>
      <c r="J23" s="102"/>
      <c r="K23" s="38">
        <f>I23*J20</f>
        <v>128945</v>
      </c>
      <c r="L23" s="40">
        <v>14</v>
      </c>
      <c r="M23" s="102"/>
      <c r="N23" s="38">
        <f>L23*M20</f>
        <v>101276</v>
      </c>
      <c r="O23" s="40">
        <v>5</v>
      </c>
      <c r="P23" s="102"/>
      <c r="Q23" s="38">
        <f>O23*P20</f>
        <v>1255</v>
      </c>
      <c r="R23" s="40">
        <v>14</v>
      </c>
      <c r="S23" s="102"/>
      <c r="T23" s="38">
        <f>R23*S20</f>
        <v>3724</v>
      </c>
      <c r="U23" s="40">
        <v>0</v>
      </c>
      <c r="V23" s="102"/>
      <c r="W23" s="38">
        <v>0</v>
      </c>
      <c r="X23" s="62">
        <f t="shared" si="5"/>
        <v>3162230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585406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15048</v>
      </c>
      <c r="X24" s="62">
        <f>T24+Q24+N24+K24+H24+W24</f>
        <v>600454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453689.65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453689.65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9220144.5</v>
      </c>
      <c r="I26" s="43">
        <f t="shared" si="9"/>
        <v>10</v>
      </c>
      <c r="J26" s="104"/>
      <c r="K26" s="43">
        <f t="shared" si="9"/>
        <v>257890</v>
      </c>
      <c r="L26" s="43">
        <f t="shared" si="9"/>
        <v>19</v>
      </c>
      <c r="M26" s="104"/>
      <c r="N26" s="43">
        <f t="shared" ref="N26:R26" si="10">SUM(N20:N25)</f>
        <v>137446</v>
      </c>
      <c r="O26" s="43">
        <f t="shared" si="10"/>
        <v>10</v>
      </c>
      <c r="P26" s="104"/>
      <c r="Q26" s="43">
        <f t="shared" si="10"/>
        <v>2510</v>
      </c>
      <c r="R26" s="43">
        <f t="shared" si="10"/>
        <v>19</v>
      </c>
      <c r="S26" s="104"/>
      <c r="T26" s="43">
        <f t="shared" ref="T26:W26" si="11">SUM(T20:T25)</f>
        <v>5054</v>
      </c>
      <c r="U26" s="43">
        <f t="shared" si="11"/>
        <v>19</v>
      </c>
      <c r="V26" s="104"/>
      <c r="W26" s="43">
        <f t="shared" si="11"/>
        <v>15048</v>
      </c>
      <c r="X26" s="65">
        <f>T26+Q26+N26+K26+H26+W26</f>
        <v>9638092.5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365432.1</v>
      </c>
      <c r="E31" s="22">
        <f t="shared" ref="E31:E34" si="12">X4</f>
        <v>4334214.1500000004</v>
      </c>
      <c r="F31" s="22">
        <f t="shared" ref="F31:F34" si="13">E31-D31</f>
        <v>3968782.05</v>
      </c>
      <c r="G31" s="22">
        <f t="shared" ref="G31:G34" si="14">X12</f>
        <v>4412810.25</v>
      </c>
      <c r="H31" s="22">
        <f t="shared" ref="H31:H34" si="15">G31-D31</f>
        <v>4047378.15</v>
      </c>
      <c r="I31" s="22">
        <f t="shared" ref="I31:I34" si="16">X20</f>
        <v>4769232.8499999996</v>
      </c>
      <c r="J31" s="50">
        <f t="shared" ref="J31:J34" si="17">I31-D31</f>
        <v>4403800.75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71234.559999999998</v>
      </c>
      <c r="E32" s="22">
        <f t="shared" si="12"/>
        <v>594244</v>
      </c>
      <c r="F32" s="22">
        <f t="shared" si="13"/>
        <v>523009.44</v>
      </c>
      <c r="G32" s="22">
        <f t="shared" si="14"/>
        <v>602456</v>
      </c>
      <c r="H32" s="22">
        <f t="shared" si="15"/>
        <v>531221.43999999994</v>
      </c>
      <c r="I32" s="22">
        <f t="shared" si="16"/>
        <v>652486</v>
      </c>
      <c r="J32" s="50">
        <f t="shared" si="17"/>
        <v>581251.43999999994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328901.74</v>
      </c>
      <c r="E33" s="22">
        <f>X7+X8</f>
        <v>3423974</v>
      </c>
      <c r="F33" s="22">
        <f t="shared" si="13"/>
        <v>3095072.26</v>
      </c>
      <c r="G33" s="22">
        <f>X15+X16</f>
        <v>3477964</v>
      </c>
      <c r="H33" s="22">
        <f t="shared" si="15"/>
        <v>3149062.26</v>
      </c>
      <c r="I33" s="22">
        <f>X23+X24</f>
        <v>3762684</v>
      </c>
      <c r="J33" s="50">
        <f t="shared" si="17"/>
        <v>3433782.26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305216.59999999998</v>
      </c>
      <c r="E34" s="22">
        <f t="shared" si="12"/>
        <v>2878048</v>
      </c>
      <c r="F34" s="22">
        <f t="shared" si="13"/>
        <v>2572831.4</v>
      </c>
      <c r="G34" s="22">
        <f t="shared" si="14"/>
        <v>2922125</v>
      </c>
      <c r="H34" s="22">
        <f t="shared" si="15"/>
        <v>2616908.4</v>
      </c>
      <c r="I34" s="22">
        <f t="shared" si="16"/>
        <v>3162230</v>
      </c>
      <c r="J34" s="50">
        <f t="shared" si="17"/>
        <v>2857013.4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23685.14</v>
      </c>
      <c r="E35" s="22">
        <f t="shared" si="18"/>
        <v>545926</v>
      </c>
      <c r="F35" s="22">
        <f t="shared" si="18"/>
        <v>522240.86</v>
      </c>
      <c r="G35" s="22">
        <f t="shared" si="18"/>
        <v>555839</v>
      </c>
      <c r="H35" s="22">
        <f t="shared" si="18"/>
        <v>532153.86</v>
      </c>
      <c r="I35" s="22">
        <f t="shared" si="18"/>
        <v>600454</v>
      </c>
      <c r="J35" s="50">
        <f t="shared" si="18"/>
        <v>576768.86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21310.21</v>
      </c>
      <c r="E36" s="22">
        <f>X9</f>
        <v>412078.35</v>
      </c>
      <c r="F36" s="22">
        <f>E36-D36</f>
        <v>390768.14</v>
      </c>
      <c r="G36" s="22">
        <f>X17</f>
        <v>420011.25</v>
      </c>
      <c r="H36" s="22">
        <f>G36-D36</f>
        <v>398701.04</v>
      </c>
      <c r="I36" s="22">
        <f>X25</f>
        <v>453689.65</v>
      </c>
      <c r="J36" s="50">
        <f>I36-D36</f>
        <v>432379.44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786878.61</v>
      </c>
      <c r="E37" s="22">
        <f>X10</f>
        <v>8764510.5</v>
      </c>
      <c r="F37" s="22">
        <f>E37-D37</f>
        <v>7977631.8899999997</v>
      </c>
      <c r="G37" s="22">
        <f>X18</f>
        <v>8913241.5</v>
      </c>
      <c r="H37" s="22">
        <f>G37-D37</f>
        <v>8126362.8899999997</v>
      </c>
      <c r="I37" s="22">
        <f>X26</f>
        <v>9638092.5</v>
      </c>
      <c r="J37" s="50">
        <f>I37-D37</f>
        <v>8851213.8900000006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8093134.8899999997</v>
      </c>
      <c r="G38" s="18"/>
      <c r="H38" s="22">
        <f>H37+C48+C49</f>
        <v>8241865.8899999997</v>
      </c>
      <c r="I38" s="18"/>
      <c r="J38" s="50">
        <f>J37+C48+C49</f>
        <v>8966716.8900000006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265857</v>
      </c>
      <c r="C43" s="21">
        <v>25567</v>
      </c>
      <c r="D43" s="25">
        <v>208765</v>
      </c>
      <c r="E43" s="21">
        <v>24012</v>
      </c>
      <c r="F43" s="21">
        <v>6765</v>
      </c>
      <c r="G43" s="21">
        <v>260</v>
      </c>
      <c r="H43" s="21">
        <v>236</v>
      </c>
      <c r="I43" s="52">
        <v>252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270975</v>
      </c>
      <c r="C44" s="21">
        <v>24789</v>
      </c>
      <c r="D44" s="25">
        <v>215678</v>
      </c>
      <c r="E44" s="21">
        <v>23234</v>
      </c>
      <c r="F44" s="21">
        <v>6543</v>
      </c>
      <c r="G44" s="21">
        <v>255</v>
      </c>
      <c r="H44" s="21">
        <v>229</v>
      </c>
      <c r="I44" s="52">
        <v>247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292703</v>
      </c>
      <c r="C45" s="28">
        <v>27654</v>
      </c>
      <c r="D45" s="29">
        <v>231234</v>
      </c>
      <c r="E45" s="28">
        <v>25789</v>
      </c>
      <c r="F45" s="28">
        <v>7234</v>
      </c>
      <c r="G45" s="28">
        <v>275</v>
      </c>
      <c r="H45" s="28">
        <v>251</v>
      </c>
      <c r="I45" s="53">
        <v>266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92103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23400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5"/>
  <sheetViews>
    <sheetView zoomScale="60" zoomScaleNormal="60" workbookViewId="0">
      <selection activeCell="D46" sqref="D46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79</v>
      </c>
      <c r="C1" s="70"/>
      <c r="D1" s="70" t="s">
        <v>2</v>
      </c>
      <c r="E1" s="70" t="s">
        <v>80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243484</v>
      </c>
      <c r="H4" s="38">
        <f>F4*G4</f>
        <v>3883569.8</v>
      </c>
      <c r="I4" s="45">
        <v>3</v>
      </c>
      <c r="J4" s="101">
        <f>E43</f>
        <v>23209</v>
      </c>
      <c r="K4" s="38">
        <f>I4*J4</f>
        <v>69627</v>
      </c>
      <c r="L4" s="45">
        <v>3</v>
      </c>
      <c r="M4" s="101">
        <f>F43</f>
        <v>6678</v>
      </c>
      <c r="N4" s="38">
        <f>L4*M4</f>
        <v>20034</v>
      </c>
      <c r="O4" s="46">
        <v>3</v>
      </c>
      <c r="P4" s="101">
        <f>H43</f>
        <v>233</v>
      </c>
      <c r="Q4" s="38">
        <f>O4*P4</f>
        <v>699</v>
      </c>
      <c r="R4" s="46">
        <v>3</v>
      </c>
      <c r="S4" s="101">
        <f>I43</f>
        <v>248</v>
      </c>
      <c r="T4" s="38">
        <f>R4*S4</f>
        <v>744</v>
      </c>
      <c r="U4" s="46">
        <v>0</v>
      </c>
      <c r="V4" s="101">
        <f>SUM(G43:I43)</f>
        <v>734</v>
      </c>
      <c r="W4" s="38">
        <v>0</v>
      </c>
      <c r="X4" s="62">
        <f t="shared" ref="X4:X7" si="0">T4+Q4+N4+K4+H4</f>
        <v>3974673.8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486968</v>
      </c>
      <c r="I5" s="45">
        <v>2</v>
      </c>
      <c r="J5" s="102"/>
      <c r="K5" s="38">
        <f>I5*J4</f>
        <v>46418</v>
      </c>
      <c r="L5" s="45">
        <v>2</v>
      </c>
      <c r="M5" s="102"/>
      <c r="N5" s="38">
        <f>L5*M4</f>
        <v>13356</v>
      </c>
      <c r="O5" s="40">
        <v>2</v>
      </c>
      <c r="P5" s="102"/>
      <c r="Q5" s="38">
        <f>O5*P4</f>
        <v>466</v>
      </c>
      <c r="R5" s="40">
        <v>2</v>
      </c>
      <c r="S5" s="102"/>
      <c r="T5" s="38">
        <f>R5*S4</f>
        <v>496</v>
      </c>
      <c r="U5" s="40">
        <v>0</v>
      </c>
      <c r="V5" s="102"/>
      <c r="W5" s="38">
        <v>0</v>
      </c>
      <c r="X5" s="62">
        <f t="shared" si="0"/>
        <v>547704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2434840</v>
      </c>
      <c r="I7" s="45">
        <v>5</v>
      </c>
      <c r="J7" s="102"/>
      <c r="K7" s="38">
        <f>I7*J4</f>
        <v>116045</v>
      </c>
      <c r="L7" s="45">
        <v>14</v>
      </c>
      <c r="M7" s="102"/>
      <c r="N7" s="38">
        <f>L7*M4</f>
        <v>93492</v>
      </c>
      <c r="O7" s="40">
        <v>5</v>
      </c>
      <c r="P7" s="102"/>
      <c r="Q7" s="38">
        <f>O7*P4</f>
        <v>1165</v>
      </c>
      <c r="R7" s="40">
        <v>14</v>
      </c>
      <c r="S7" s="102"/>
      <c r="T7" s="38">
        <f>R7*S4</f>
        <v>3472</v>
      </c>
      <c r="U7" s="40">
        <v>0</v>
      </c>
      <c r="V7" s="102"/>
      <c r="W7" s="38">
        <v>0</v>
      </c>
      <c r="X7" s="62">
        <f t="shared" si="0"/>
        <v>2649014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486968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13946</v>
      </c>
      <c r="X8" s="62">
        <f>T8+Q8+N8+K8+H8+W8</f>
        <v>500914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377400.2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377400.2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7669746</v>
      </c>
      <c r="I10" s="41">
        <f t="shared" si="2"/>
        <v>10</v>
      </c>
      <c r="J10" s="103"/>
      <c r="K10" s="41">
        <f t="shared" si="2"/>
        <v>232090</v>
      </c>
      <c r="L10" s="41">
        <f t="shared" si="2"/>
        <v>19</v>
      </c>
      <c r="M10" s="103"/>
      <c r="N10" s="41">
        <f t="shared" ref="N10:R10" si="3">SUM(N4:N9)</f>
        <v>126882</v>
      </c>
      <c r="O10" s="41">
        <f t="shared" si="3"/>
        <v>10</v>
      </c>
      <c r="P10" s="103"/>
      <c r="Q10" s="41">
        <f t="shared" si="3"/>
        <v>2330</v>
      </c>
      <c r="R10" s="41">
        <f t="shared" si="3"/>
        <v>19</v>
      </c>
      <c r="S10" s="103"/>
      <c r="T10" s="41">
        <f t="shared" ref="T10:W10" si="4">SUM(T4:T9)</f>
        <v>4712</v>
      </c>
      <c r="U10" s="41">
        <f t="shared" si="4"/>
        <v>19</v>
      </c>
      <c r="V10" s="103"/>
      <c r="W10" s="41">
        <f t="shared" si="4"/>
        <v>13946</v>
      </c>
      <c r="X10" s="63">
        <f>T10+Q10+N10+K10+H10+W10</f>
        <v>8049706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248602</v>
      </c>
      <c r="H12" s="38">
        <f>F12*G12</f>
        <v>3965201.9</v>
      </c>
      <c r="I12" s="46">
        <v>3</v>
      </c>
      <c r="J12" s="101">
        <f>E44</f>
        <v>22431</v>
      </c>
      <c r="K12" s="38">
        <f>I12*J12</f>
        <v>67293</v>
      </c>
      <c r="L12" s="46">
        <v>3</v>
      </c>
      <c r="M12" s="101">
        <f>F44</f>
        <v>6456</v>
      </c>
      <c r="N12" s="38">
        <f>L12*M12</f>
        <v>19368</v>
      </c>
      <c r="O12" s="46">
        <v>3</v>
      </c>
      <c r="P12" s="101">
        <f>H44</f>
        <v>226</v>
      </c>
      <c r="Q12" s="38">
        <f>O12*P12</f>
        <v>678</v>
      </c>
      <c r="R12" s="46">
        <v>3</v>
      </c>
      <c r="S12" s="101">
        <f>I44</f>
        <v>243</v>
      </c>
      <c r="T12" s="38">
        <f>R12*S12</f>
        <v>729</v>
      </c>
      <c r="U12" s="46">
        <v>0</v>
      </c>
      <c r="V12" s="101">
        <f>SUM(G44:I44)</f>
        <v>717</v>
      </c>
      <c r="W12" s="38">
        <v>0</v>
      </c>
      <c r="X12" s="62">
        <f t="shared" si="1"/>
        <v>4053269.9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497204</v>
      </c>
      <c r="I13" s="40">
        <v>2</v>
      </c>
      <c r="J13" s="102"/>
      <c r="K13" s="38">
        <f>I13*J12</f>
        <v>44862</v>
      </c>
      <c r="L13" s="40">
        <v>2</v>
      </c>
      <c r="M13" s="102"/>
      <c r="N13" s="38">
        <f>L13*M12</f>
        <v>12912</v>
      </c>
      <c r="O13" s="40">
        <v>2</v>
      </c>
      <c r="P13" s="102"/>
      <c r="Q13" s="38">
        <f>O13*P12</f>
        <v>452</v>
      </c>
      <c r="R13" s="40">
        <v>2</v>
      </c>
      <c r="S13" s="102"/>
      <c r="T13" s="38">
        <f>R13*S12</f>
        <v>486</v>
      </c>
      <c r="U13" s="40">
        <v>0</v>
      </c>
      <c r="V13" s="102"/>
      <c r="W13" s="38">
        <v>0</v>
      </c>
      <c r="X13" s="62">
        <f t="shared" si="1"/>
        <v>555916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2486020</v>
      </c>
      <c r="I15" s="40">
        <v>5</v>
      </c>
      <c r="J15" s="102"/>
      <c r="K15" s="38">
        <f>I15*J12</f>
        <v>112155</v>
      </c>
      <c r="L15" s="40">
        <v>14</v>
      </c>
      <c r="M15" s="102"/>
      <c r="N15" s="38">
        <f>L15*M12</f>
        <v>90384</v>
      </c>
      <c r="O15" s="40">
        <v>5</v>
      </c>
      <c r="P15" s="102"/>
      <c r="Q15" s="38">
        <f>O15*P12</f>
        <v>1130</v>
      </c>
      <c r="R15" s="40">
        <v>14</v>
      </c>
      <c r="S15" s="102"/>
      <c r="T15" s="38">
        <f>R15*S12</f>
        <v>3402</v>
      </c>
      <c r="U15" s="40">
        <v>0</v>
      </c>
      <c r="V15" s="102"/>
      <c r="W15" s="38">
        <v>0</v>
      </c>
      <c r="X15" s="62">
        <f t="shared" si="1"/>
        <v>2693091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497204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13623</v>
      </c>
      <c r="X16" s="62">
        <f>T16+Q16+N16+K16+H16+W16</f>
        <v>510827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385333.1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385333.1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7830963</v>
      </c>
      <c r="I18" s="41">
        <f t="shared" si="6"/>
        <v>10</v>
      </c>
      <c r="J18" s="103"/>
      <c r="K18" s="41">
        <f t="shared" si="6"/>
        <v>224310</v>
      </c>
      <c r="L18" s="41">
        <f t="shared" si="6"/>
        <v>19</v>
      </c>
      <c r="M18" s="103"/>
      <c r="N18" s="41">
        <f t="shared" ref="N18:R18" si="7">SUM(N12:N17)</f>
        <v>122664</v>
      </c>
      <c r="O18" s="41">
        <f t="shared" si="7"/>
        <v>10</v>
      </c>
      <c r="P18" s="103"/>
      <c r="Q18" s="41">
        <f t="shared" si="7"/>
        <v>2260</v>
      </c>
      <c r="R18" s="41">
        <f t="shared" si="7"/>
        <v>19</v>
      </c>
      <c r="S18" s="103"/>
      <c r="T18" s="41">
        <f t="shared" ref="T18:W18" si="8">SUM(T12:T17)</f>
        <v>4617</v>
      </c>
      <c r="U18" s="41">
        <f t="shared" si="8"/>
        <v>19</v>
      </c>
      <c r="V18" s="103"/>
      <c r="W18" s="41">
        <f t="shared" si="8"/>
        <v>13623</v>
      </c>
      <c r="X18" s="63">
        <f>T18+Q18+N18+K18+H18+W18</f>
        <v>8198437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271707</v>
      </c>
      <c r="H20" s="38">
        <f>F20*G20</f>
        <v>4333726.6500000004</v>
      </c>
      <c r="I20" s="46">
        <v>3</v>
      </c>
      <c r="J20" s="101">
        <f>E45</f>
        <v>24678</v>
      </c>
      <c r="K20" s="38">
        <f>I20*J20</f>
        <v>74034</v>
      </c>
      <c r="L20" s="46">
        <v>3</v>
      </c>
      <c r="M20" s="101">
        <f>F45</f>
        <v>7123</v>
      </c>
      <c r="N20" s="38">
        <f>L20*M20</f>
        <v>21369</v>
      </c>
      <c r="O20" s="46">
        <v>3</v>
      </c>
      <c r="P20" s="101">
        <f>H45</f>
        <v>246</v>
      </c>
      <c r="Q20" s="38">
        <f>O20*P20</f>
        <v>738</v>
      </c>
      <c r="R20" s="46">
        <v>3</v>
      </c>
      <c r="S20" s="101">
        <f>I45</f>
        <v>258</v>
      </c>
      <c r="T20" s="38">
        <f>R20*S20</f>
        <v>774</v>
      </c>
      <c r="U20" s="46">
        <v>0</v>
      </c>
      <c r="V20" s="101">
        <f>SUM((G45:I45))</f>
        <v>772</v>
      </c>
      <c r="W20" s="38">
        <v>0</v>
      </c>
      <c r="X20" s="62">
        <f t="shared" si="5"/>
        <v>4430641.6500000004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543414</v>
      </c>
      <c r="I21" s="40">
        <v>2</v>
      </c>
      <c r="J21" s="102"/>
      <c r="K21" s="38">
        <f>I21*J20</f>
        <v>49356</v>
      </c>
      <c r="L21" s="40">
        <v>2</v>
      </c>
      <c r="M21" s="102"/>
      <c r="N21" s="38">
        <f>L21*M20</f>
        <v>14246</v>
      </c>
      <c r="O21" s="40">
        <v>2</v>
      </c>
      <c r="P21" s="102"/>
      <c r="Q21" s="38">
        <f>O21*P20</f>
        <v>492</v>
      </c>
      <c r="R21" s="40">
        <v>2</v>
      </c>
      <c r="S21" s="102"/>
      <c r="T21" s="38">
        <f>R21*S20</f>
        <v>516</v>
      </c>
      <c r="U21" s="40">
        <v>0</v>
      </c>
      <c r="V21" s="102"/>
      <c r="W21" s="38">
        <v>0</v>
      </c>
      <c r="X21" s="62">
        <f t="shared" si="5"/>
        <v>608024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2717070</v>
      </c>
      <c r="I23" s="40">
        <v>5</v>
      </c>
      <c r="J23" s="102"/>
      <c r="K23" s="38">
        <f>I23*J20</f>
        <v>123390</v>
      </c>
      <c r="L23" s="40">
        <v>14</v>
      </c>
      <c r="M23" s="102"/>
      <c r="N23" s="38">
        <f>L23*M20</f>
        <v>99722</v>
      </c>
      <c r="O23" s="40">
        <v>5</v>
      </c>
      <c r="P23" s="102"/>
      <c r="Q23" s="38">
        <f>O23*P20</f>
        <v>1230</v>
      </c>
      <c r="R23" s="40">
        <v>14</v>
      </c>
      <c r="S23" s="102"/>
      <c r="T23" s="38">
        <f>R23*S20</f>
        <v>3612</v>
      </c>
      <c r="U23" s="40">
        <v>0</v>
      </c>
      <c r="V23" s="102"/>
      <c r="W23" s="38">
        <v>0</v>
      </c>
      <c r="X23" s="62">
        <f t="shared" si="5"/>
        <v>2945024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543414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14668</v>
      </c>
      <c r="X24" s="62">
        <f>T24+Q24+N24+K24+H24+W24</f>
        <v>558082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421145.85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421145.85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8558770.5</v>
      </c>
      <c r="I26" s="43">
        <f t="shared" si="9"/>
        <v>10</v>
      </c>
      <c r="J26" s="104"/>
      <c r="K26" s="43">
        <f t="shared" si="9"/>
        <v>246780</v>
      </c>
      <c r="L26" s="43">
        <f t="shared" si="9"/>
        <v>19</v>
      </c>
      <c r="M26" s="104"/>
      <c r="N26" s="43">
        <f t="shared" ref="N26:R26" si="10">SUM(N20:N25)</f>
        <v>135337</v>
      </c>
      <c r="O26" s="43">
        <f t="shared" si="10"/>
        <v>10</v>
      </c>
      <c r="P26" s="104"/>
      <c r="Q26" s="43">
        <f t="shared" si="10"/>
        <v>2460</v>
      </c>
      <c r="R26" s="43">
        <f t="shared" si="10"/>
        <v>19</v>
      </c>
      <c r="S26" s="104"/>
      <c r="T26" s="43">
        <f t="shared" ref="T26:W26" si="11">SUM(T20:T25)</f>
        <v>4902</v>
      </c>
      <c r="U26" s="43">
        <f t="shared" si="11"/>
        <v>19</v>
      </c>
      <c r="V26" s="104"/>
      <c r="W26" s="43">
        <f t="shared" si="11"/>
        <v>14668</v>
      </c>
      <c r="X26" s="65">
        <f>T26+Q26+N26+K26+H26+W26</f>
        <v>8962917.5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349876.54</v>
      </c>
      <c r="E31" s="22">
        <f t="shared" ref="E31:E34" si="12">X4</f>
        <v>3974673.8</v>
      </c>
      <c r="F31" s="22">
        <f t="shared" ref="F31:F34" si="13">E31-D31</f>
        <v>3624797.26</v>
      </c>
      <c r="G31" s="22">
        <f t="shared" ref="G31:G34" si="14">X12</f>
        <v>4053269.9</v>
      </c>
      <c r="H31" s="22">
        <f t="shared" ref="H31:H34" si="15">G31-D31</f>
        <v>3703393.36</v>
      </c>
      <c r="I31" s="22">
        <f t="shared" ref="I31:I34" si="16">X20</f>
        <v>4430641.6500000004</v>
      </c>
      <c r="J31" s="50">
        <f t="shared" ref="J31:J34" si="17">I31-D31</f>
        <v>4080765.11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69876.539999999994</v>
      </c>
      <c r="E32" s="22">
        <f t="shared" si="12"/>
        <v>547704</v>
      </c>
      <c r="F32" s="22">
        <f t="shared" si="13"/>
        <v>477827.46</v>
      </c>
      <c r="G32" s="22">
        <f t="shared" si="14"/>
        <v>555916</v>
      </c>
      <c r="H32" s="22">
        <f t="shared" si="15"/>
        <v>486039.46</v>
      </c>
      <c r="I32" s="22">
        <f t="shared" si="16"/>
        <v>608024</v>
      </c>
      <c r="J32" s="50">
        <f t="shared" si="17"/>
        <v>538147.46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319876.53999999998</v>
      </c>
      <c r="E33" s="22">
        <f>X7+X8</f>
        <v>3149928</v>
      </c>
      <c r="F33" s="22">
        <f t="shared" si="13"/>
        <v>2830051.46</v>
      </c>
      <c r="G33" s="22">
        <f>X15+X16</f>
        <v>3203918</v>
      </c>
      <c r="H33" s="22">
        <f t="shared" si="15"/>
        <v>2884041.46</v>
      </c>
      <c r="I33" s="22">
        <f>X23+X24</f>
        <v>3503106</v>
      </c>
      <c r="J33" s="50">
        <f t="shared" si="17"/>
        <v>3183229.46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295489.71000000002</v>
      </c>
      <c r="E34" s="22">
        <f t="shared" si="12"/>
        <v>2649014</v>
      </c>
      <c r="F34" s="22">
        <f t="shared" si="13"/>
        <v>2353524.29</v>
      </c>
      <c r="G34" s="22">
        <f t="shared" si="14"/>
        <v>2693091</v>
      </c>
      <c r="H34" s="22">
        <f t="shared" si="15"/>
        <v>2397601.29</v>
      </c>
      <c r="I34" s="22">
        <f t="shared" si="16"/>
        <v>2945024</v>
      </c>
      <c r="J34" s="50">
        <f t="shared" si="17"/>
        <v>2649534.29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24386.83</v>
      </c>
      <c r="E35" s="22">
        <f t="shared" si="18"/>
        <v>500914</v>
      </c>
      <c r="F35" s="22">
        <f t="shared" si="18"/>
        <v>476527.17</v>
      </c>
      <c r="G35" s="22">
        <f t="shared" si="18"/>
        <v>510827</v>
      </c>
      <c r="H35" s="22">
        <f t="shared" si="18"/>
        <v>486440.17</v>
      </c>
      <c r="I35" s="22">
        <f t="shared" si="18"/>
        <v>558082</v>
      </c>
      <c r="J35" s="50">
        <f t="shared" si="18"/>
        <v>533695.17000000004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42310.21</v>
      </c>
      <c r="E36" s="22">
        <f>X9</f>
        <v>377400.2</v>
      </c>
      <c r="F36" s="22">
        <f>E36-D36</f>
        <v>335089.99</v>
      </c>
      <c r="G36" s="22">
        <f>X17</f>
        <v>385333.1</v>
      </c>
      <c r="H36" s="22">
        <f>G36-D36</f>
        <v>343022.89</v>
      </c>
      <c r="I36" s="22">
        <f>X25</f>
        <v>421145.85</v>
      </c>
      <c r="J36" s="50">
        <f>I36-D36</f>
        <v>378835.64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781939.83</v>
      </c>
      <c r="E37" s="22">
        <f>X10</f>
        <v>8049706</v>
      </c>
      <c r="F37" s="22">
        <f>E37-D37</f>
        <v>7267766.1699999999</v>
      </c>
      <c r="G37" s="22">
        <f>X18</f>
        <v>8198437</v>
      </c>
      <c r="H37" s="22">
        <f>G37-D37</f>
        <v>7416497.1699999999</v>
      </c>
      <c r="I37" s="22">
        <f>X26</f>
        <v>8962917.5</v>
      </c>
      <c r="J37" s="50">
        <f>I37-D37</f>
        <v>8180977.6699999999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7369766.1699999999</v>
      </c>
      <c r="G38" s="18"/>
      <c r="H38" s="22">
        <f>H37+C48+C49</f>
        <v>7518497.1699999999</v>
      </c>
      <c r="I38" s="18"/>
      <c r="J38" s="50">
        <f>J37+C48+C49</f>
        <v>8282977.6699999999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243484</v>
      </c>
      <c r="C43" s="21">
        <v>25209</v>
      </c>
      <c r="D43" s="25">
        <v>187654</v>
      </c>
      <c r="E43" s="21">
        <v>23209</v>
      </c>
      <c r="F43" s="21">
        <v>6678</v>
      </c>
      <c r="G43" s="21">
        <v>253</v>
      </c>
      <c r="H43" s="21">
        <v>233</v>
      </c>
      <c r="I43" s="52">
        <v>248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248602</v>
      </c>
      <c r="C44" s="21">
        <v>24431</v>
      </c>
      <c r="D44" s="25">
        <v>194567</v>
      </c>
      <c r="E44" s="21">
        <v>22431</v>
      </c>
      <c r="F44" s="21">
        <v>6456</v>
      </c>
      <c r="G44" s="21">
        <v>248</v>
      </c>
      <c r="H44" s="21">
        <v>226</v>
      </c>
      <c r="I44" s="52">
        <v>243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271707</v>
      </c>
      <c r="C45" s="28">
        <v>26789</v>
      </c>
      <c r="D45" s="29">
        <v>212345</v>
      </c>
      <c r="E45" s="28">
        <v>24678</v>
      </c>
      <c r="F45" s="28">
        <v>7123</v>
      </c>
      <c r="G45" s="28">
        <v>268</v>
      </c>
      <c r="H45" s="28">
        <v>246</v>
      </c>
      <c r="I45" s="53">
        <v>258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78600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23400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5"/>
  <sheetViews>
    <sheetView topLeftCell="A4" zoomScale="60" zoomScaleNormal="60" workbookViewId="0">
      <selection activeCell="F48" sqref="F48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81</v>
      </c>
      <c r="C1" s="70"/>
      <c r="D1" s="70" t="s">
        <v>2</v>
      </c>
      <c r="E1" s="70" t="s">
        <v>82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264527</v>
      </c>
      <c r="H4" s="38">
        <f>F4*G4</f>
        <v>4219205.6500000004</v>
      </c>
      <c r="I4" s="45">
        <v>3</v>
      </c>
      <c r="J4" s="101">
        <f>E43</f>
        <v>23112</v>
      </c>
      <c r="K4" s="38">
        <f>I4*J4</f>
        <v>69336</v>
      </c>
      <c r="L4" s="45">
        <v>3</v>
      </c>
      <c r="M4" s="101">
        <f>F43</f>
        <v>6679</v>
      </c>
      <c r="N4" s="38">
        <f>L4*M4</f>
        <v>20037</v>
      </c>
      <c r="O4" s="46">
        <v>3</v>
      </c>
      <c r="P4" s="101">
        <f>H43</f>
        <v>232</v>
      </c>
      <c r="Q4" s="38">
        <f>O4*P4</f>
        <v>696</v>
      </c>
      <c r="R4" s="46">
        <v>3</v>
      </c>
      <c r="S4" s="101">
        <f>I43</f>
        <v>248</v>
      </c>
      <c r="T4" s="38">
        <f>R4*S4</f>
        <v>744</v>
      </c>
      <c r="U4" s="46">
        <v>0</v>
      </c>
      <c r="V4" s="101">
        <f>SUM(G43:I43)</f>
        <v>738</v>
      </c>
      <c r="W4" s="38">
        <v>0</v>
      </c>
      <c r="X4" s="62">
        <f t="shared" ref="X4:X7" si="0">T4+Q4+N4+K4+H4</f>
        <v>4310018.6500000004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529054</v>
      </c>
      <c r="I5" s="45">
        <v>2</v>
      </c>
      <c r="J5" s="102"/>
      <c r="K5" s="38">
        <f>I5*J4</f>
        <v>46224</v>
      </c>
      <c r="L5" s="45">
        <v>2</v>
      </c>
      <c r="M5" s="102"/>
      <c r="N5" s="38">
        <f>L5*M4</f>
        <v>13358</v>
      </c>
      <c r="O5" s="40">
        <v>2</v>
      </c>
      <c r="P5" s="102"/>
      <c r="Q5" s="38">
        <f>O5*P4</f>
        <v>464</v>
      </c>
      <c r="R5" s="40">
        <v>2</v>
      </c>
      <c r="S5" s="102"/>
      <c r="T5" s="38">
        <f>R5*S4</f>
        <v>496</v>
      </c>
      <c r="U5" s="40">
        <v>0</v>
      </c>
      <c r="V5" s="102"/>
      <c r="W5" s="38">
        <v>0</v>
      </c>
      <c r="X5" s="62">
        <f t="shared" si="0"/>
        <v>589596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2645270</v>
      </c>
      <c r="I7" s="45">
        <v>5</v>
      </c>
      <c r="J7" s="102"/>
      <c r="K7" s="38">
        <f>I7*J4</f>
        <v>115560</v>
      </c>
      <c r="L7" s="45">
        <v>14</v>
      </c>
      <c r="M7" s="102"/>
      <c r="N7" s="38">
        <f>L7*M4</f>
        <v>93506</v>
      </c>
      <c r="O7" s="40">
        <v>5</v>
      </c>
      <c r="P7" s="102"/>
      <c r="Q7" s="38">
        <f>O7*P4</f>
        <v>1160</v>
      </c>
      <c r="R7" s="40">
        <v>14</v>
      </c>
      <c r="S7" s="102"/>
      <c r="T7" s="38">
        <f>R7*S4</f>
        <v>3472</v>
      </c>
      <c r="U7" s="40">
        <v>0</v>
      </c>
      <c r="V7" s="102"/>
      <c r="W7" s="38">
        <v>0</v>
      </c>
      <c r="X7" s="62">
        <f t="shared" si="0"/>
        <v>2858968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529054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14022</v>
      </c>
      <c r="X8" s="62">
        <f>T8+Q8+N8+K8+H8+W8</f>
        <v>543076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410016.85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410016.85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8332600.5</v>
      </c>
      <c r="I10" s="41">
        <f t="shared" si="2"/>
        <v>10</v>
      </c>
      <c r="J10" s="103"/>
      <c r="K10" s="41">
        <f t="shared" si="2"/>
        <v>231120</v>
      </c>
      <c r="L10" s="41">
        <f t="shared" si="2"/>
        <v>19</v>
      </c>
      <c r="M10" s="103"/>
      <c r="N10" s="41">
        <f t="shared" ref="N10:R10" si="3">SUM(N4:N9)</f>
        <v>126901</v>
      </c>
      <c r="O10" s="41">
        <f t="shared" si="3"/>
        <v>10</v>
      </c>
      <c r="P10" s="103"/>
      <c r="Q10" s="41">
        <f t="shared" si="3"/>
        <v>2320</v>
      </c>
      <c r="R10" s="41">
        <f t="shared" si="3"/>
        <v>19</v>
      </c>
      <c r="S10" s="103"/>
      <c r="T10" s="41">
        <f t="shared" ref="T10:W10" si="4">SUM(T4:T9)</f>
        <v>4712</v>
      </c>
      <c r="U10" s="41">
        <f t="shared" si="4"/>
        <v>19</v>
      </c>
      <c r="V10" s="103"/>
      <c r="W10" s="41">
        <f t="shared" si="4"/>
        <v>14022</v>
      </c>
      <c r="X10" s="63">
        <f>T10+Q10+N10+K10+H10+W10</f>
        <v>8711675.5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296513</v>
      </c>
      <c r="H12" s="38">
        <f>F12*G12</f>
        <v>4729382.3499999996</v>
      </c>
      <c r="I12" s="46">
        <v>3</v>
      </c>
      <c r="J12" s="101">
        <f>E44</f>
        <v>25901</v>
      </c>
      <c r="K12" s="38">
        <f>I12*J12</f>
        <v>77703</v>
      </c>
      <c r="L12" s="46">
        <v>3</v>
      </c>
      <c r="M12" s="101">
        <f>F44</f>
        <v>7345</v>
      </c>
      <c r="N12" s="38">
        <f>L12*M12</f>
        <v>22035</v>
      </c>
      <c r="O12" s="46">
        <v>3</v>
      </c>
      <c r="P12" s="101">
        <f>H44</f>
        <v>253</v>
      </c>
      <c r="Q12" s="38">
        <f>O12*P12</f>
        <v>759</v>
      </c>
      <c r="R12" s="46">
        <v>3</v>
      </c>
      <c r="S12" s="101">
        <f>I44</f>
        <v>268</v>
      </c>
      <c r="T12" s="38">
        <f>R12*S12</f>
        <v>804</v>
      </c>
      <c r="U12" s="46">
        <v>0</v>
      </c>
      <c r="V12" s="101">
        <f>SUM(G44:I44)</f>
        <v>799</v>
      </c>
      <c r="W12" s="38">
        <v>0</v>
      </c>
      <c r="X12" s="62">
        <f t="shared" si="1"/>
        <v>4830683.3499999996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593026</v>
      </c>
      <c r="I13" s="40">
        <v>2</v>
      </c>
      <c r="J13" s="102"/>
      <c r="K13" s="38">
        <f>I13*J12</f>
        <v>51802</v>
      </c>
      <c r="L13" s="40">
        <v>2</v>
      </c>
      <c r="M13" s="102"/>
      <c r="N13" s="38">
        <f>L13*M12</f>
        <v>14690</v>
      </c>
      <c r="O13" s="40">
        <v>2</v>
      </c>
      <c r="P13" s="102"/>
      <c r="Q13" s="38">
        <f>O13*P12</f>
        <v>506</v>
      </c>
      <c r="R13" s="40">
        <v>2</v>
      </c>
      <c r="S13" s="102"/>
      <c r="T13" s="38">
        <f>R13*S12</f>
        <v>536</v>
      </c>
      <c r="U13" s="40">
        <v>0</v>
      </c>
      <c r="V13" s="102"/>
      <c r="W13" s="38">
        <v>0</v>
      </c>
      <c r="X13" s="62">
        <f t="shared" si="1"/>
        <v>660560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2965130</v>
      </c>
      <c r="I15" s="40">
        <v>5</v>
      </c>
      <c r="J15" s="102"/>
      <c r="K15" s="38">
        <f>I15*J12</f>
        <v>129505</v>
      </c>
      <c r="L15" s="40">
        <v>14</v>
      </c>
      <c r="M15" s="102"/>
      <c r="N15" s="38">
        <f>L15*M12</f>
        <v>102830</v>
      </c>
      <c r="O15" s="40">
        <v>5</v>
      </c>
      <c r="P15" s="102"/>
      <c r="Q15" s="38">
        <f>O15*P12</f>
        <v>1265</v>
      </c>
      <c r="R15" s="40">
        <v>14</v>
      </c>
      <c r="S15" s="102"/>
      <c r="T15" s="38">
        <f>R15*S12</f>
        <v>3752</v>
      </c>
      <c r="U15" s="40">
        <v>0</v>
      </c>
      <c r="V15" s="102"/>
      <c r="W15" s="38">
        <v>0</v>
      </c>
      <c r="X15" s="62">
        <f t="shared" si="1"/>
        <v>3202482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593026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15181</v>
      </c>
      <c r="X16" s="62">
        <f>T16+Q16+N16+K16+H16+W16</f>
        <v>608207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459595.15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459595.15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9340159.5</v>
      </c>
      <c r="I18" s="41">
        <f t="shared" si="6"/>
        <v>10</v>
      </c>
      <c r="J18" s="103"/>
      <c r="K18" s="41">
        <f t="shared" si="6"/>
        <v>259010</v>
      </c>
      <c r="L18" s="41">
        <f t="shared" si="6"/>
        <v>19</v>
      </c>
      <c r="M18" s="103"/>
      <c r="N18" s="41">
        <f t="shared" ref="N18:R18" si="7">SUM(N12:N17)</f>
        <v>139555</v>
      </c>
      <c r="O18" s="41">
        <f t="shared" si="7"/>
        <v>10</v>
      </c>
      <c r="P18" s="103"/>
      <c r="Q18" s="41">
        <f t="shared" si="7"/>
        <v>2530</v>
      </c>
      <c r="R18" s="41">
        <f t="shared" si="7"/>
        <v>19</v>
      </c>
      <c r="S18" s="103"/>
      <c r="T18" s="41">
        <f t="shared" ref="T18:W18" si="8">SUM(T12:T17)</f>
        <v>5092</v>
      </c>
      <c r="U18" s="41">
        <f t="shared" si="8"/>
        <v>19</v>
      </c>
      <c r="V18" s="103"/>
      <c r="W18" s="41">
        <f t="shared" si="8"/>
        <v>15181</v>
      </c>
      <c r="X18" s="63">
        <f>T18+Q18+N18+K18+H18+W18</f>
        <v>9761527.5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283607</v>
      </c>
      <c r="H20" s="38">
        <f>F20*G20</f>
        <v>4523531.6500000004</v>
      </c>
      <c r="I20" s="46">
        <v>3</v>
      </c>
      <c r="J20" s="101">
        <f>E45</f>
        <v>25123</v>
      </c>
      <c r="K20" s="38">
        <f>I20*J20</f>
        <v>75369</v>
      </c>
      <c r="L20" s="46">
        <v>3</v>
      </c>
      <c r="M20" s="101">
        <f>F45</f>
        <v>7123</v>
      </c>
      <c r="N20" s="38">
        <f>L20*M20</f>
        <v>21369</v>
      </c>
      <c r="O20" s="46">
        <v>3</v>
      </c>
      <c r="P20" s="101">
        <f>H45</f>
        <v>246</v>
      </c>
      <c r="Q20" s="38">
        <f>O20*P20</f>
        <v>738</v>
      </c>
      <c r="R20" s="46">
        <v>3</v>
      </c>
      <c r="S20" s="101">
        <f>I45</f>
        <v>263</v>
      </c>
      <c r="T20" s="38">
        <f>R20*S20</f>
        <v>789</v>
      </c>
      <c r="U20" s="46">
        <v>0</v>
      </c>
      <c r="V20" s="101">
        <f>SUM((G45:I45))</f>
        <v>782</v>
      </c>
      <c r="W20" s="38">
        <v>0</v>
      </c>
      <c r="X20" s="62">
        <f t="shared" si="5"/>
        <v>4621796.6500000004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567214</v>
      </c>
      <c r="I21" s="40">
        <v>2</v>
      </c>
      <c r="J21" s="102"/>
      <c r="K21" s="38">
        <f>I21*J20</f>
        <v>50246</v>
      </c>
      <c r="L21" s="40">
        <v>2</v>
      </c>
      <c r="M21" s="102"/>
      <c r="N21" s="38">
        <f>L21*M20</f>
        <v>14246</v>
      </c>
      <c r="O21" s="40">
        <v>2</v>
      </c>
      <c r="P21" s="102"/>
      <c r="Q21" s="38">
        <f>O21*P20</f>
        <v>492</v>
      </c>
      <c r="R21" s="40">
        <v>2</v>
      </c>
      <c r="S21" s="102"/>
      <c r="T21" s="38">
        <f>R21*S20</f>
        <v>526</v>
      </c>
      <c r="U21" s="40">
        <v>0</v>
      </c>
      <c r="V21" s="102"/>
      <c r="W21" s="38">
        <v>0</v>
      </c>
      <c r="X21" s="62">
        <f t="shared" si="5"/>
        <v>632724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2836070</v>
      </c>
      <c r="I23" s="40">
        <v>5</v>
      </c>
      <c r="J23" s="102"/>
      <c r="K23" s="38">
        <f>I23*J20</f>
        <v>125615</v>
      </c>
      <c r="L23" s="40">
        <v>14</v>
      </c>
      <c r="M23" s="102"/>
      <c r="N23" s="38">
        <f>L23*M20</f>
        <v>99722</v>
      </c>
      <c r="O23" s="40">
        <v>5</v>
      </c>
      <c r="P23" s="102"/>
      <c r="Q23" s="38">
        <f>O23*P20</f>
        <v>1230</v>
      </c>
      <c r="R23" s="40">
        <v>14</v>
      </c>
      <c r="S23" s="102"/>
      <c r="T23" s="38">
        <f>R23*S20</f>
        <v>3682</v>
      </c>
      <c r="U23" s="40">
        <v>0</v>
      </c>
      <c r="V23" s="102"/>
      <c r="W23" s="38">
        <v>0</v>
      </c>
      <c r="X23" s="62">
        <f t="shared" si="5"/>
        <v>3066319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567214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14858</v>
      </c>
      <c r="X24" s="62">
        <f>T24+Q24+N24+K24+H24+W24</f>
        <v>582072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439590.85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439590.85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8933620.5</v>
      </c>
      <c r="I26" s="43">
        <f t="shared" si="9"/>
        <v>10</v>
      </c>
      <c r="J26" s="104"/>
      <c r="K26" s="43">
        <f t="shared" si="9"/>
        <v>251230</v>
      </c>
      <c r="L26" s="43">
        <f t="shared" si="9"/>
        <v>19</v>
      </c>
      <c r="M26" s="104"/>
      <c r="N26" s="43">
        <f t="shared" ref="N26:R26" si="10">SUM(N20:N25)</f>
        <v>135337</v>
      </c>
      <c r="O26" s="43">
        <f t="shared" si="10"/>
        <v>10</v>
      </c>
      <c r="P26" s="104"/>
      <c r="Q26" s="43">
        <f t="shared" si="10"/>
        <v>2460</v>
      </c>
      <c r="R26" s="43">
        <f t="shared" si="10"/>
        <v>19</v>
      </c>
      <c r="S26" s="104"/>
      <c r="T26" s="43">
        <f t="shared" ref="T26:W26" si="11">SUM(T20:T25)</f>
        <v>4997</v>
      </c>
      <c r="U26" s="43">
        <f t="shared" si="11"/>
        <v>19</v>
      </c>
      <c r="V26" s="104"/>
      <c r="W26" s="43">
        <f t="shared" si="11"/>
        <v>14858</v>
      </c>
      <c r="X26" s="65">
        <f>T26+Q26+N26+K26+H26+W26</f>
        <v>9342502.5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387654.32</v>
      </c>
      <c r="E31" s="22">
        <f t="shared" ref="E31:E34" si="12">X4</f>
        <v>4310018.6500000004</v>
      </c>
      <c r="F31" s="22">
        <f t="shared" ref="F31:F34" si="13">E31-D31</f>
        <v>3922364.33</v>
      </c>
      <c r="G31" s="22">
        <f t="shared" ref="G31:G34" si="14">X12</f>
        <v>4830683.3499999996</v>
      </c>
      <c r="H31" s="22">
        <f t="shared" ref="H31:H34" si="15">G31-D31</f>
        <v>4443029.03</v>
      </c>
      <c r="I31" s="22">
        <f t="shared" ref="I31:I34" si="16">X20</f>
        <v>4621796.6500000004</v>
      </c>
      <c r="J31" s="50">
        <f t="shared" ref="J31:J34" si="17">I31-D31</f>
        <v>4234142.33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76543.210000000006</v>
      </c>
      <c r="E32" s="22">
        <f t="shared" si="12"/>
        <v>589596</v>
      </c>
      <c r="F32" s="22">
        <f t="shared" si="13"/>
        <v>513052.79</v>
      </c>
      <c r="G32" s="22">
        <f t="shared" si="14"/>
        <v>660560</v>
      </c>
      <c r="H32" s="22">
        <f t="shared" si="15"/>
        <v>584016.79</v>
      </c>
      <c r="I32" s="22">
        <f t="shared" si="16"/>
        <v>632724</v>
      </c>
      <c r="J32" s="50">
        <f t="shared" si="17"/>
        <v>556180.79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342345.67</v>
      </c>
      <c r="E33" s="22">
        <f>X7+X8</f>
        <v>3402044</v>
      </c>
      <c r="F33" s="22">
        <f t="shared" si="13"/>
        <v>3059698.33</v>
      </c>
      <c r="G33" s="22">
        <f>X15+X16</f>
        <v>3810689</v>
      </c>
      <c r="H33" s="22">
        <f t="shared" si="15"/>
        <v>3468343.33</v>
      </c>
      <c r="I33" s="22">
        <f>X23+X24</f>
        <v>3648391</v>
      </c>
      <c r="J33" s="50">
        <f t="shared" si="17"/>
        <v>3306045.33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317964.96999999997</v>
      </c>
      <c r="E34" s="22">
        <f t="shared" si="12"/>
        <v>2858968</v>
      </c>
      <c r="F34" s="22">
        <f t="shared" si="13"/>
        <v>2541003.0299999998</v>
      </c>
      <c r="G34" s="22">
        <f t="shared" si="14"/>
        <v>3202482</v>
      </c>
      <c r="H34" s="22">
        <f t="shared" si="15"/>
        <v>2884517.03</v>
      </c>
      <c r="I34" s="22">
        <f t="shared" si="16"/>
        <v>3066319</v>
      </c>
      <c r="J34" s="50">
        <f t="shared" si="17"/>
        <v>2748354.03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24380.7</v>
      </c>
      <c r="E35" s="22">
        <f t="shared" si="18"/>
        <v>543076</v>
      </c>
      <c r="F35" s="22">
        <f t="shared" si="18"/>
        <v>518695.3</v>
      </c>
      <c r="G35" s="22">
        <f t="shared" si="18"/>
        <v>608207</v>
      </c>
      <c r="H35" s="22">
        <f t="shared" si="18"/>
        <v>583826.30000000005</v>
      </c>
      <c r="I35" s="22">
        <f t="shared" si="18"/>
        <v>582072</v>
      </c>
      <c r="J35" s="50">
        <f t="shared" si="18"/>
        <v>557691.30000000005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4742.21</v>
      </c>
      <c r="E36" s="22">
        <f>X9</f>
        <v>410016.85</v>
      </c>
      <c r="F36" s="22">
        <f>E36-D36</f>
        <v>405274.64</v>
      </c>
      <c r="G36" s="22">
        <f>X17</f>
        <v>459595.15</v>
      </c>
      <c r="H36" s="22">
        <f>G36-D36</f>
        <v>454852.94</v>
      </c>
      <c r="I36" s="22">
        <f>X25</f>
        <v>439590.85</v>
      </c>
      <c r="J36" s="50">
        <f>I36-D36</f>
        <v>434848.64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811285.41</v>
      </c>
      <c r="E37" s="22">
        <f>X10</f>
        <v>8711675.5</v>
      </c>
      <c r="F37" s="22">
        <f>E37-D37</f>
        <v>7900390.0899999999</v>
      </c>
      <c r="G37" s="22">
        <f>X18</f>
        <v>9761527.5</v>
      </c>
      <c r="H37" s="22">
        <f>G37-D37</f>
        <v>8950242.0899999999</v>
      </c>
      <c r="I37" s="22">
        <f>X26</f>
        <v>9342502.5</v>
      </c>
      <c r="J37" s="50">
        <f>I37-D37</f>
        <v>8531217.0899999999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8003114.0899999999</v>
      </c>
      <c r="G38" s="18"/>
      <c r="H38" s="22">
        <f>H37+C48+C49</f>
        <v>9052966.0899999999</v>
      </c>
      <c r="I38" s="18"/>
      <c r="J38" s="50">
        <f>J37+C48+C49</f>
        <v>8633941.0899999999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264527</v>
      </c>
      <c r="C43" s="21">
        <v>25233</v>
      </c>
      <c r="D43" s="25">
        <v>208765</v>
      </c>
      <c r="E43" s="21">
        <v>23112</v>
      </c>
      <c r="F43" s="21">
        <v>6679</v>
      </c>
      <c r="G43" s="21">
        <v>258</v>
      </c>
      <c r="H43" s="21">
        <v>232</v>
      </c>
      <c r="I43" s="52">
        <v>248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296513</v>
      </c>
      <c r="C44" s="21">
        <v>27901</v>
      </c>
      <c r="D44" s="25">
        <v>234567</v>
      </c>
      <c r="E44" s="21">
        <v>25901</v>
      </c>
      <c r="F44" s="21">
        <v>7345</v>
      </c>
      <c r="G44" s="21">
        <v>278</v>
      </c>
      <c r="H44" s="21">
        <v>253</v>
      </c>
      <c r="I44" s="52">
        <v>268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283607</v>
      </c>
      <c r="C45" s="28">
        <v>27123</v>
      </c>
      <c r="D45" s="29">
        <v>223456</v>
      </c>
      <c r="E45" s="28">
        <v>25123</v>
      </c>
      <c r="F45" s="28">
        <v>7123</v>
      </c>
      <c r="G45" s="28">
        <v>273</v>
      </c>
      <c r="H45" s="28">
        <v>246</v>
      </c>
      <c r="I45" s="53">
        <v>263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78600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24124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5"/>
  <sheetViews>
    <sheetView topLeftCell="A14" zoomScale="60" zoomScaleNormal="60" workbookViewId="0">
      <selection activeCell="F43" sqref="F43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83</v>
      </c>
      <c r="C1" s="70"/>
      <c r="D1" s="70" t="s">
        <v>2</v>
      </c>
      <c r="E1" s="70" t="s">
        <v>84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232853</v>
      </c>
      <c r="H4" s="38">
        <f>F4*G4</f>
        <v>3714005.35</v>
      </c>
      <c r="I4" s="45">
        <v>3</v>
      </c>
      <c r="J4" s="101">
        <f>E43</f>
        <v>22320</v>
      </c>
      <c r="K4" s="38">
        <f>I4*J4</f>
        <v>66960</v>
      </c>
      <c r="L4" s="45">
        <v>3</v>
      </c>
      <c r="M4" s="101">
        <f>F43</f>
        <v>6567</v>
      </c>
      <c r="N4" s="38">
        <f>L4*M4</f>
        <v>19701</v>
      </c>
      <c r="O4" s="46">
        <v>3</v>
      </c>
      <c r="P4" s="101">
        <f>H43</f>
        <v>228</v>
      </c>
      <c r="Q4" s="38">
        <f>O4*P4</f>
        <v>684</v>
      </c>
      <c r="R4" s="46">
        <v>3</v>
      </c>
      <c r="S4" s="101">
        <f>I43</f>
        <v>245</v>
      </c>
      <c r="T4" s="38">
        <f>R4*S4</f>
        <v>735</v>
      </c>
      <c r="U4" s="46">
        <v>0</v>
      </c>
      <c r="V4" s="101">
        <f>SUM(G43:I43)</f>
        <v>720</v>
      </c>
      <c r="W4" s="38">
        <v>0</v>
      </c>
      <c r="X4" s="62">
        <f t="shared" ref="X4:X7" si="0">T4+Q4+N4+K4+H4</f>
        <v>3802085.35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465706</v>
      </c>
      <c r="I5" s="45">
        <v>2</v>
      </c>
      <c r="J5" s="102"/>
      <c r="K5" s="38">
        <f>I5*J4</f>
        <v>44640</v>
      </c>
      <c r="L5" s="45">
        <v>2</v>
      </c>
      <c r="M5" s="102"/>
      <c r="N5" s="38">
        <f>L5*M4</f>
        <v>13134</v>
      </c>
      <c r="O5" s="40">
        <v>2</v>
      </c>
      <c r="P5" s="102"/>
      <c r="Q5" s="38">
        <f>O5*P4</f>
        <v>456</v>
      </c>
      <c r="R5" s="40">
        <v>2</v>
      </c>
      <c r="S5" s="102"/>
      <c r="T5" s="38">
        <f>R5*S4</f>
        <v>490</v>
      </c>
      <c r="U5" s="40">
        <v>0</v>
      </c>
      <c r="V5" s="102"/>
      <c r="W5" s="38">
        <v>0</v>
      </c>
      <c r="X5" s="62">
        <f t="shared" si="0"/>
        <v>524426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2328530</v>
      </c>
      <c r="I7" s="45">
        <v>5</v>
      </c>
      <c r="J7" s="102"/>
      <c r="K7" s="38">
        <f>I7*J4</f>
        <v>111600</v>
      </c>
      <c r="L7" s="45">
        <v>14</v>
      </c>
      <c r="M7" s="102"/>
      <c r="N7" s="38">
        <f>L7*M4</f>
        <v>91938</v>
      </c>
      <c r="O7" s="40">
        <v>5</v>
      </c>
      <c r="P7" s="102"/>
      <c r="Q7" s="38">
        <f>O7*P4</f>
        <v>1140</v>
      </c>
      <c r="R7" s="40">
        <v>14</v>
      </c>
      <c r="S7" s="102"/>
      <c r="T7" s="38">
        <f>R7*S4</f>
        <v>3430</v>
      </c>
      <c r="U7" s="40">
        <v>0</v>
      </c>
      <c r="V7" s="102"/>
      <c r="W7" s="38">
        <v>0</v>
      </c>
      <c r="X7" s="62">
        <f t="shared" si="0"/>
        <v>2536638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465706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13680</v>
      </c>
      <c r="X8" s="62">
        <f>T8+Q8+N8+K8+H8+W8</f>
        <v>479386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360922.15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360922.15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7334869.5</v>
      </c>
      <c r="I10" s="41">
        <f t="shared" si="2"/>
        <v>10</v>
      </c>
      <c r="J10" s="103"/>
      <c r="K10" s="41">
        <f t="shared" si="2"/>
        <v>223200</v>
      </c>
      <c r="L10" s="41">
        <f t="shared" si="2"/>
        <v>19</v>
      </c>
      <c r="M10" s="103"/>
      <c r="N10" s="41">
        <f t="shared" ref="N10:R10" si="3">SUM(N4:N9)</f>
        <v>124773</v>
      </c>
      <c r="O10" s="41">
        <f t="shared" si="3"/>
        <v>10</v>
      </c>
      <c r="P10" s="103"/>
      <c r="Q10" s="41">
        <f t="shared" si="3"/>
        <v>2280</v>
      </c>
      <c r="R10" s="41">
        <f t="shared" si="3"/>
        <v>19</v>
      </c>
      <c r="S10" s="103"/>
      <c r="T10" s="41">
        <f t="shared" ref="T10:W10" si="4">SUM(T4:T9)</f>
        <v>4655</v>
      </c>
      <c r="U10" s="41">
        <f t="shared" si="4"/>
        <v>19</v>
      </c>
      <c r="V10" s="103"/>
      <c r="W10" s="41">
        <f t="shared" si="4"/>
        <v>13680</v>
      </c>
      <c r="X10" s="63">
        <f>T10+Q10+N10+K10+H10+W10</f>
        <v>7703457.5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237589</v>
      </c>
      <c r="H12" s="38">
        <f>F12*G12</f>
        <v>3789544.55</v>
      </c>
      <c r="I12" s="46">
        <v>3</v>
      </c>
      <c r="J12" s="101">
        <f>E44</f>
        <v>21542</v>
      </c>
      <c r="K12" s="38">
        <f>I12*J12</f>
        <v>64626</v>
      </c>
      <c r="L12" s="46">
        <v>3</v>
      </c>
      <c r="M12" s="101">
        <f>F44</f>
        <v>6345</v>
      </c>
      <c r="N12" s="38">
        <f>L12*M12</f>
        <v>19035</v>
      </c>
      <c r="O12" s="46">
        <v>3</v>
      </c>
      <c r="P12" s="101">
        <f>H44</f>
        <v>221</v>
      </c>
      <c r="Q12" s="38">
        <f>O12*P12</f>
        <v>663</v>
      </c>
      <c r="R12" s="46">
        <v>3</v>
      </c>
      <c r="S12" s="101">
        <f>I44</f>
        <v>240</v>
      </c>
      <c r="T12" s="38">
        <f>R12*S12</f>
        <v>720</v>
      </c>
      <c r="U12" s="46">
        <v>0</v>
      </c>
      <c r="V12" s="101">
        <f>SUM(G44:I44)</f>
        <v>703</v>
      </c>
      <c r="W12" s="38">
        <v>0</v>
      </c>
      <c r="X12" s="62">
        <f t="shared" si="1"/>
        <v>3874588.55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475178</v>
      </c>
      <c r="I13" s="40">
        <v>2</v>
      </c>
      <c r="J13" s="102"/>
      <c r="K13" s="38">
        <f>I13*J12</f>
        <v>43084</v>
      </c>
      <c r="L13" s="40">
        <v>2</v>
      </c>
      <c r="M13" s="102"/>
      <c r="N13" s="38">
        <f>L13*M12</f>
        <v>12690</v>
      </c>
      <c r="O13" s="40">
        <v>2</v>
      </c>
      <c r="P13" s="102"/>
      <c r="Q13" s="38">
        <f>O13*P12</f>
        <v>442</v>
      </c>
      <c r="R13" s="40">
        <v>2</v>
      </c>
      <c r="S13" s="102"/>
      <c r="T13" s="38">
        <f>R13*S12</f>
        <v>480</v>
      </c>
      <c r="U13" s="40">
        <v>0</v>
      </c>
      <c r="V13" s="102"/>
      <c r="W13" s="38">
        <v>0</v>
      </c>
      <c r="X13" s="62">
        <f t="shared" si="1"/>
        <v>531874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2375890</v>
      </c>
      <c r="I15" s="40">
        <v>5</v>
      </c>
      <c r="J15" s="102"/>
      <c r="K15" s="38">
        <f>I15*J12</f>
        <v>107710</v>
      </c>
      <c r="L15" s="40">
        <v>14</v>
      </c>
      <c r="M15" s="102"/>
      <c r="N15" s="38">
        <f>L15*M12</f>
        <v>88830</v>
      </c>
      <c r="O15" s="40">
        <v>5</v>
      </c>
      <c r="P15" s="102"/>
      <c r="Q15" s="38">
        <f>O15*P12</f>
        <v>1105</v>
      </c>
      <c r="R15" s="40">
        <v>14</v>
      </c>
      <c r="S15" s="102"/>
      <c r="T15" s="38">
        <f>R15*S12</f>
        <v>3360</v>
      </c>
      <c r="U15" s="40">
        <v>0</v>
      </c>
      <c r="V15" s="102"/>
      <c r="W15" s="38">
        <v>0</v>
      </c>
      <c r="X15" s="62">
        <f t="shared" si="1"/>
        <v>2576895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475178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13357</v>
      </c>
      <c r="X16" s="62">
        <f>T16+Q16+N16+K16+H16+W16</f>
        <v>488535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368262.95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368262.95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7484053.5</v>
      </c>
      <c r="I18" s="41">
        <f t="shared" si="6"/>
        <v>10</v>
      </c>
      <c r="J18" s="103"/>
      <c r="K18" s="41">
        <f t="shared" si="6"/>
        <v>215420</v>
      </c>
      <c r="L18" s="41">
        <f t="shared" si="6"/>
        <v>19</v>
      </c>
      <c r="M18" s="103"/>
      <c r="N18" s="41">
        <f t="shared" ref="N18:R18" si="7">SUM(N12:N17)</f>
        <v>120555</v>
      </c>
      <c r="O18" s="41">
        <f t="shared" si="7"/>
        <v>10</v>
      </c>
      <c r="P18" s="103"/>
      <c r="Q18" s="41">
        <f t="shared" si="7"/>
        <v>2210</v>
      </c>
      <c r="R18" s="41">
        <f t="shared" si="7"/>
        <v>19</v>
      </c>
      <c r="S18" s="103"/>
      <c r="T18" s="41">
        <f t="shared" ref="T18:W18" si="8">SUM(T12:T17)</f>
        <v>4560</v>
      </c>
      <c r="U18" s="41">
        <f t="shared" si="8"/>
        <v>19</v>
      </c>
      <c r="V18" s="103"/>
      <c r="W18" s="41">
        <f t="shared" si="8"/>
        <v>13357</v>
      </c>
      <c r="X18" s="63">
        <f>T18+Q18+N18+K18+H18+W18</f>
        <v>7840155.5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268427</v>
      </c>
      <c r="H20" s="38">
        <f>F20*G20</f>
        <v>4281410.6500000004</v>
      </c>
      <c r="I20" s="46">
        <v>3</v>
      </c>
      <c r="J20" s="101">
        <f>E45</f>
        <v>24321</v>
      </c>
      <c r="K20" s="38">
        <f>I20*J20</f>
        <v>72963</v>
      </c>
      <c r="L20" s="46">
        <v>3</v>
      </c>
      <c r="M20" s="101">
        <f>F45</f>
        <v>7012</v>
      </c>
      <c r="N20" s="38">
        <f>L20*M20</f>
        <v>21036</v>
      </c>
      <c r="O20" s="46">
        <v>3</v>
      </c>
      <c r="P20" s="101">
        <f>H45</f>
        <v>242</v>
      </c>
      <c r="Q20" s="38">
        <f>O20*P20</f>
        <v>726</v>
      </c>
      <c r="R20" s="46">
        <v>3</v>
      </c>
      <c r="S20" s="101">
        <f>I45</f>
        <v>256</v>
      </c>
      <c r="T20" s="38">
        <f>R20*S20</f>
        <v>768</v>
      </c>
      <c r="U20" s="46">
        <v>0</v>
      </c>
      <c r="V20" s="101">
        <f>SUM((G45:I45))</f>
        <v>762</v>
      </c>
      <c r="W20" s="38">
        <v>0</v>
      </c>
      <c r="X20" s="62">
        <f t="shared" si="5"/>
        <v>4376903.6500000004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536854</v>
      </c>
      <c r="I21" s="40">
        <v>2</v>
      </c>
      <c r="J21" s="102"/>
      <c r="K21" s="38">
        <f>I21*J20</f>
        <v>48642</v>
      </c>
      <c r="L21" s="40">
        <v>2</v>
      </c>
      <c r="M21" s="102"/>
      <c r="N21" s="38">
        <f>L21*M20</f>
        <v>14024</v>
      </c>
      <c r="O21" s="40">
        <v>2</v>
      </c>
      <c r="P21" s="102"/>
      <c r="Q21" s="38">
        <f>O21*P20</f>
        <v>484</v>
      </c>
      <c r="R21" s="40">
        <v>2</v>
      </c>
      <c r="S21" s="102"/>
      <c r="T21" s="38">
        <f>R21*S20</f>
        <v>512</v>
      </c>
      <c r="U21" s="40">
        <v>0</v>
      </c>
      <c r="V21" s="102"/>
      <c r="W21" s="38">
        <v>0</v>
      </c>
      <c r="X21" s="62">
        <f t="shared" si="5"/>
        <v>600516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2684270</v>
      </c>
      <c r="I23" s="40">
        <v>5</v>
      </c>
      <c r="J23" s="102"/>
      <c r="K23" s="38">
        <f>I23*J20</f>
        <v>121605</v>
      </c>
      <c r="L23" s="40">
        <v>14</v>
      </c>
      <c r="M23" s="102"/>
      <c r="N23" s="38">
        <f>L23*M20</f>
        <v>98168</v>
      </c>
      <c r="O23" s="40">
        <v>5</v>
      </c>
      <c r="P23" s="102"/>
      <c r="Q23" s="38">
        <f>O23*P20</f>
        <v>1210</v>
      </c>
      <c r="R23" s="40">
        <v>14</v>
      </c>
      <c r="S23" s="102"/>
      <c r="T23" s="38">
        <f>R23*S20</f>
        <v>3584</v>
      </c>
      <c r="U23" s="40">
        <v>0</v>
      </c>
      <c r="V23" s="102"/>
      <c r="W23" s="38">
        <v>0</v>
      </c>
      <c r="X23" s="62">
        <f t="shared" si="5"/>
        <v>2908837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536854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14478</v>
      </c>
      <c r="X24" s="62">
        <f>T24+Q24+N24+K24+H24+W24</f>
        <v>551332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416061.85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416061.85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8455450.5</v>
      </c>
      <c r="I26" s="43">
        <f t="shared" si="9"/>
        <v>10</v>
      </c>
      <c r="J26" s="104"/>
      <c r="K26" s="43">
        <f t="shared" si="9"/>
        <v>243210</v>
      </c>
      <c r="L26" s="43">
        <f t="shared" si="9"/>
        <v>19</v>
      </c>
      <c r="M26" s="104"/>
      <c r="N26" s="43">
        <f t="shared" ref="N26:R26" si="10">SUM(N20:N25)</f>
        <v>133228</v>
      </c>
      <c r="O26" s="43">
        <f t="shared" si="10"/>
        <v>10</v>
      </c>
      <c r="P26" s="104"/>
      <c r="Q26" s="43">
        <f t="shared" si="10"/>
        <v>2420</v>
      </c>
      <c r="R26" s="43">
        <f t="shared" si="10"/>
        <v>19</v>
      </c>
      <c r="S26" s="104"/>
      <c r="T26" s="43">
        <f t="shared" ref="T26:W26" si="11">SUM(T20:T25)</f>
        <v>4864</v>
      </c>
      <c r="U26" s="43">
        <f t="shared" si="11"/>
        <v>19</v>
      </c>
      <c r="V26" s="104"/>
      <c r="W26" s="43">
        <f t="shared" si="11"/>
        <v>14478</v>
      </c>
      <c r="X26" s="65">
        <f>T26+Q26+N26+K26+H26+W26</f>
        <v>8853650.5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329876.53999999998</v>
      </c>
      <c r="E31" s="22">
        <f t="shared" ref="E31:E34" si="12">X4</f>
        <v>3802085.35</v>
      </c>
      <c r="F31" s="22">
        <f t="shared" ref="F31:F34" si="13">E31-D31</f>
        <v>3472208.81</v>
      </c>
      <c r="G31" s="22">
        <f t="shared" ref="G31:G34" si="14">X12</f>
        <v>3874588.55</v>
      </c>
      <c r="H31" s="22">
        <f t="shared" ref="H31:H34" si="15">G31-D31</f>
        <v>3544712.01</v>
      </c>
      <c r="I31" s="22">
        <f t="shared" ref="I31:I34" si="16">X20</f>
        <v>4376903.6500000004</v>
      </c>
      <c r="J31" s="50">
        <f t="shared" ref="J31:J34" si="17">I31-D31</f>
        <v>4047027.11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65432.1</v>
      </c>
      <c r="E32" s="22">
        <f t="shared" si="12"/>
        <v>524426</v>
      </c>
      <c r="F32" s="22">
        <f t="shared" si="13"/>
        <v>458993.9</v>
      </c>
      <c r="G32" s="22">
        <f t="shared" si="14"/>
        <v>531874</v>
      </c>
      <c r="H32" s="22">
        <f t="shared" si="15"/>
        <v>466441.9</v>
      </c>
      <c r="I32" s="22">
        <f t="shared" si="16"/>
        <v>600516</v>
      </c>
      <c r="J32" s="50">
        <f t="shared" si="17"/>
        <v>535083.9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308765.43</v>
      </c>
      <c r="E33" s="22">
        <f>X7+X8</f>
        <v>3016024</v>
      </c>
      <c r="F33" s="22">
        <f t="shared" si="13"/>
        <v>2707258.57</v>
      </c>
      <c r="G33" s="22">
        <f>X15+X16</f>
        <v>3065430</v>
      </c>
      <c r="H33" s="22">
        <f t="shared" si="15"/>
        <v>2756664.57</v>
      </c>
      <c r="I33" s="22">
        <f>X23+X24</f>
        <v>3460169</v>
      </c>
      <c r="J33" s="50">
        <f t="shared" si="17"/>
        <v>3151403.57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283419.61</v>
      </c>
      <c r="E34" s="22">
        <f t="shared" si="12"/>
        <v>2536638</v>
      </c>
      <c r="F34" s="22">
        <f t="shared" si="13"/>
        <v>2253218.39</v>
      </c>
      <c r="G34" s="22">
        <f t="shared" si="14"/>
        <v>2576895</v>
      </c>
      <c r="H34" s="22">
        <f t="shared" si="15"/>
        <v>2293475.39</v>
      </c>
      <c r="I34" s="22">
        <f t="shared" si="16"/>
        <v>2908837</v>
      </c>
      <c r="J34" s="50">
        <f t="shared" si="17"/>
        <v>2625417.39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25345.82</v>
      </c>
      <c r="E35" s="22">
        <f t="shared" si="18"/>
        <v>479386</v>
      </c>
      <c r="F35" s="22">
        <f t="shared" si="18"/>
        <v>454040.18</v>
      </c>
      <c r="G35" s="22">
        <f t="shared" si="18"/>
        <v>488535</v>
      </c>
      <c r="H35" s="22">
        <f t="shared" si="18"/>
        <v>463189.18</v>
      </c>
      <c r="I35" s="22">
        <f t="shared" si="18"/>
        <v>551332</v>
      </c>
      <c r="J35" s="50">
        <f t="shared" si="18"/>
        <v>525986.18000000005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45363.21</v>
      </c>
      <c r="E36" s="22">
        <f>X9</f>
        <v>360922.15</v>
      </c>
      <c r="F36" s="22">
        <f>E36-D36</f>
        <v>315558.94</v>
      </c>
      <c r="G36" s="22">
        <f>X17</f>
        <v>368262.95</v>
      </c>
      <c r="H36" s="22">
        <f>G36-D36</f>
        <v>322899.74</v>
      </c>
      <c r="I36" s="22">
        <f>X25</f>
        <v>416061.85</v>
      </c>
      <c r="J36" s="50">
        <f>I36-D36</f>
        <v>370698.64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749437.28</v>
      </c>
      <c r="E37" s="22">
        <f>X10</f>
        <v>7703457.5</v>
      </c>
      <c r="F37" s="22">
        <f>E37-D37</f>
        <v>6954020.2199999997</v>
      </c>
      <c r="G37" s="22">
        <f>X18</f>
        <v>7840155.5</v>
      </c>
      <c r="H37" s="22">
        <f>G37-D37</f>
        <v>7090718.2199999997</v>
      </c>
      <c r="I37" s="22">
        <f>X26</f>
        <v>8853650.5</v>
      </c>
      <c r="J37" s="50">
        <f>I37-D37</f>
        <v>8104213.2199999997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7056030.2199999997</v>
      </c>
      <c r="G38" s="18"/>
      <c r="H38" s="22">
        <f>H37+C48+C49</f>
        <v>7192728.2199999997</v>
      </c>
      <c r="I38" s="18"/>
      <c r="J38" s="50">
        <f>J37+C48+C49</f>
        <v>8206223.2199999997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232853</v>
      </c>
      <c r="C43" s="21">
        <v>24345</v>
      </c>
      <c r="D43" s="25">
        <v>178901</v>
      </c>
      <c r="E43" s="21">
        <v>22320</v>
      </c>
      <c r="F43" s="21">
        <v>6567</v>
      </c>
      <c r="G43" s="21">
        <v>247</v>
      </c>
      <c r="H43" s="21">
        <v>228</v>
      </c>
      <c r="I43" s="52">
        <v>245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237589</v>
      </c>
      <c r="C44" s="21">
        <v>23567</v>
      </c>
      <c r="D44" s="25">
        <v>185432</v>
      </c>
      <c r="E44" s="21">
        <v>21542</v>
      </c>
      <c r="F44" s="21">
        <v>6345</v>
      </c>
      <c r="G44" s="21">
        <v>242</v>
      </c>
      <c r="H44" s="21">
        <v>221</v>
      </c>
      <c r="I44" s="52">
        <v>240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268427</v>
      </c>
      <c r="C45" s="28">
        <v>26456</v>
      </c>
      <c r="D45" s="29">
        <v>209876</v>
      </c>
      <c r="E45" s="28">
        <v>24321</v>
      </c>
      <c r="F45" s="28">
        <v>7012</v>
      </c>
      <c r="G45" s="28">
        <v>264</v>
      </c>
      <c r="H45" s="28">
        <v>242</v>
      </c>
      <c r="I45" s="53">
        <v>256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78600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23410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5"/>
  <sheetViews>
    <sheetView zoomScale="60" zoomScaleNormal="60" workbookViewId="0">
      <selection activeCell="K32" sqref="K32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85</v>
      </c>
      <c r="C1" s="70"/>
      <c r="D1" s="70" t="s">
        <v>2</v>
      </c>
      <c r="E1" s="70" t="s">
        <v>86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290391</v>
      </c>
      <c r="H4" s="38">
        <f>F4*G4</f>
        <v>4631736.45</v>
      </c>
      <c r="I4" s="45">
        <v>3</v>
      </c>
      <c r="J4" s="101">
        <f>E43</f>
        <v>25678</v>
      </c>
      <c r="K4" s="38">
        <f>I4*J4</f>
        <v>77034</v>
      </c>
      <c r="L4" s="45">
        <v>3</v>
      </c>
      <c r="M4" s="101">
        <f>F43</f>
        <v>7234</v>
      </c>
      <c r="N4" s="38">
        <f>L4*M4</f>
        <v>21702</v>
      </c>
      <c r="O4" s="46">
        <v>3</v>
      </c>
      <c r="P4" s="101">
        <f>H43</f>
        <v>250</v>
      </c>
      <c r="Q4" s="38">
        <f>O4*P4</f>
        <v>750</v>
      </c>
      <c r="R4" s="46">
        <v>3</v>
      </c>
      <c r="S4" s="101">
        <f>I43</f>
        <v>265</v>
      </c>
      <c r="T4" s="38">
        <f>R4*S4</f>
        <v>795</v>
      </c>
      <c r="U4" s="46">
        <v>0</v>
      </c>
      <c r="V4" s="101">
        <f>SUM(G43:I43)</f>
        <v>789</v>
      </c>
      <c r="W4" s="38">
        <v>0</v>
      </c>
      <c r="X4" s="62">
        <f t="shared" ref="X4:X7" si="0">T4+Q4+N4+K4+H4</f>
        <v>4732017.45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580782</v>
      </c>
      <c r="I5" s="45">
        <v>2</v>
      </c>
      <c r="J5" s="102"/>
      <c r="K5" s="38">
        <f>I5*J4</f>
        <v>51356</v>
      </c>
      <c r="L5" s="45">
        <v>2</v>
      </c>
      <c r="M5" s="102"/>
      <c r="N5" s="38">
        <f>L5*M4</f>
        <v>14468</v>
      </c>
      <c r="O5" s="40">
        <v>2</v>
      </c>
      <c r="P5" s="102"/>
      <c r="Q5" s="38">
        <f>O5*P4</f>
        <v>500</v>
      </c>
      <c r="R5" s="40">
        <v>2</v>
      </c>
      <c r="S5" s="102"/>
      <c r="T5" s="38">
        <f>R5*S4</f>
        <v>530</v>
      </c>
      <c r="U5" s="40">
        <v>0</v>
      </c>
      <c r="V5" s="102"/>
      <c r="W5" s="38">
        <v>0</v>
      </c>
      <c r="X5" s="62">
        <f t="shared" si="0"/>
        <v>647636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2903910</v>
      </c>
      <c r="I7" s="45">
        <v>5</v>
      </c>
      <c r="J7" s="102"/>
      <c r="K7" s="38">
        <f>I7*J4</f>
        <v>128390</v>
      </c>
      <c r="L7" s="45">
        <v>14</v>
      </c>
      <c r="M7" s="102"/>
      <c r="N7" s="38">
        <f>L7*M4</f>
        <v>101276</v>
      </c>
      <c r="O7" s="40">
        <v>5</v>
      </c>
      <c r="P7" s="102"/>
      <c r="Q7" s="38">
        <f>O7*P4</f>
        <v>1250</v>
      </c>
      <c r="R7" s="40">
        <v>14</v>
      </c>
      <c r="S7" s="102"/>
      <c r="T7" s="38">
        <f>R7*S4</f>
        <v>3710</v>
      </c>
      <c r="U7" s="40">
        <v>0</v>
      </c>
      <c r="V7" s="102"/>
      <c r="W7" s="38">
        <v>0</v>
      </c>
      <c r="X7" s="62">
        <f t="shared" si="0"/>
        <v>3138536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580782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14991</v>
      </c>
      <c r="X8" s="62">
        <f>T8+Q8+N8+K8+H8+W8</f>
        <v>595773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450106.05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450106.05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9147316.5</v>
      </c>
      <c r="I10" s="41">
        <f t="shared" si="2"/>
        <v>10</v>
      </c>
      <c r="J10" s="103"/>
      <c r="K10" s="41">
        <f t="shared" si="2"/>
        <v>256780</v>
      </c>
      <c r="L10" s="41">
        <f t="shared" si="2"/>
        <v>19</v>
      </c>
      <c r="M10" s="103"/>
      <c r="N10" s="41">
        <f t="shared" ref="N10:R10" si="3">SUM(N4:N9)</f>
        <v>137446</v>
      </c>
      <c r="O10" s="41">
        <f t="shared" si="3"/>
        <v>10</v>
      </c>
      <c r="P10" s="103"/>
      <c r="Q10" s="41">
        <f t="shared" si="3"/>
        <v>2500</v>
      </c>
      <c r="R10" s="41">
        <f t="shared" si="3"/>
        <v>19</v>
      </c>
      <c r="S10" s="103"/>
      <c r="T10" s="41">
        <f t="shared" ref="T10:W10" si="4">SUM(T4:T9)</f>
        <v>5035</v>
      </c>
      <c r="U10" s="41">
        <f t="shared" si="4"/>
        <v>19</v>
      </c>
      <c r="V10" s="103"/>
      <c r="W10" s="41">
        <f t="shared" si="4"/>
        <v>14991</v>
      </c>
      <c r="X10" s="63">
        <f>T10+Q10+N10+K10+H10+W10</f>
        <v>9564068.5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277575</v>
      </c>
      <c r="H12" s="38">
        <f>F12*G12</f>
        <v>4427321.25</v>
      </c>
      <c r="I12" s="46">
        <v>3</v>
      </c>
      <c r="J12" s="101">
        <f>E44</f>
        <v>24890</v>
      </c>
      <c r="K12" s="38">
        <f>I12*J12</f>
        <v>74670</v>
      </c>
      <c r="L12" s="46">
        <v>3</v>
      </c>
      <c r="M12" s="101">
        <f>F44</f>
        <v>7012</v>
      </c>
      <c r="N12" s="38">
        <f>L12*M12</f>
        <v>21036</v>
      </c>
      <c r="O12" s="46">
        <v>3</v>
      </c>
      <c r="P12" s="101">
        <f>H44</f>
        <v>243</v>
      </c>
      <c r="Q12" s="38">
        <f>O12*P12</f>
        <v>729</v>
      </c>
      <c r="R12" s="46">
        <v>3</v>
      </c>
      <c r="S12" s="101">
        <f>I44</f>
        <v>260</v>
      </c>
      <c r="T12" s="38">
        <f>R12*S12</f>
        <v>780</v>
      </c>
      <c r="U12" s="46">
        <v>0</v>
      </c>
      <c r="V12" s="101">
        <f>SUM(G44:I44)</f>
        <v>772</v>
      </c>
      <c r="W12" s="38">
        <v>0</v>
      </c>
      <c r="X12" s="62">
        <f t="shared" si="1"/>
        <v>4524536.25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555150</v>
      </c>
      <c r="I13" s="40">
        <v>2</v>
      </c>
      <c r="J13" s="102"/>
      <c r="K13" s="38">
        <f>I13*J12</f>
        <v>49780</v>
      </c>
      <c r="L13" s="40">
        <v>2</v>
      </c>
      <c r="M13" s="102"/>
      <c r="N13" s="38">
        <f>L13*M12</f>
        <v>14024</v>
      </c>
      <c r="O13" s="40">
        <v>2</v>
      </c>
      <c r="P13" s="102"/>
      <c r="Q13" s="38">
        <f>O13*P12</f>
        <v>486</v>
      </c>
      <c r="R13" s="40">
        <v>2</v>
      </c>
      <c r="S13" s="102"/>
      <c r="T13" s="38">
        <f>R13*S12</f>
        <v>520</v>
      </c>
      <c r="U13" s="40">
        <v>0</v>
      </c>
      <c r="V13" s="102"/>
      <c r="W13" s="38">
        <v>0</v>
      </c>
      <c r="X13" s="62">
        <f t="shared" si="1"/>
        <v>619960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2775750</v>
      </c>
      <c r="I15" s="40">
        <v>5</v>
      </c>
      <c r="J15" s="102"/>
      <c r="K15" s="38">
        <f>I15*J12</f>
        <v>124450</v>
      </c>
      <c r="L15" s="40">
        <v>14</v>
      </c>
      <c r="M15" s="102"/>
      <c r="N15" s="38">
        <f>L15*M12</f>
        <v>98168</v>
      </c>
      <c r="O15" s="40">
        <v>5</v>
      </c>
      <c r="P15" s="102"/>
      <c r="Q15" s="38">
        <f>O15*P12</f>
        <v>1215</v>
      </c>
      <c r="R15" s="40">
        <v>14</v>
      </c>
      <c r="S15" s="102"/>
      <c r="T15" s="38">
        <f>R15*S12</f>
        <v>3640</v>
      </c>
      <c r="U15" s="40">
        <v>0</v>
      </c>
      <c r="V15" s="102"/>
      <c r="W15" s="38">
        <v>0</v>
      </c>
      <c r="X15" s="62">
        <f t="shared" si="1"/>
        <v>3003223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555150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14668</v>
      </c>
      <c r="X16" s="62">
        <f>T16+Q16+N16+K16+H16+W16</f>
        <v>569818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430241.25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430241.25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8743612.5</v>
      </c>
      <c r="I18" s="41">
        <f t="shared" si="6"/>
        <v>10</v>
      </c>
      <c r="J18" s="103"/>
      <c r="K18" s="41">
        <f t="shared" si="6"/>
        <v>248900</v>
      </c>
      <c r="L18" s="41">
        <f t="shared" si="6"/>
        <v>19</v>
      </c>
      <c r="M18" s="103"/>
      <c r="N18" s="41">
        <f t="shared" ref="N18:R18" si="7">SUM(N12:N17)</f>
        <v>133228</v>
      </c>
      <c r="O18" s="41">
        <f t="shared" si="7"/>
        <v>10</v>
      </c>
      <c r="P18" s="103"/>
      <c r="Q18" s="41">
        <f t="shared" si="7"/>
        <v>2430</v>
      </c>
      <c r="R18" s="41">
        <f t="shared" si="7"/>
        <v>19</v>
      </c>
      <c r="S18" s="103"/>
      <c r="T18" s="41">
        <f t="shared" ref="T18:W18" si="8">SUM(T12:T17)</f>
        <v>4940</v>
      </c>
      <c r="U18" s="41">
        <f t="shared" si="8"/>
        <v>19</v>
      </c>
      <c r="V18" s="103"/>
      <c r="W18" s="41">
        <f t="shared" si="8"/>
        <v>14668</v>
      </c>
      <c r="X18" s="63">
        <f>T18+Q18+N18+K18+H18+W18</f>
        <v>9147778.5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282211</v>
      </c>
      <c r="H20" s="38">
        <f>F20*G20</f>
        <v>4501265.45</v>
      </c>
      <c r="I20" s="46">
        <v>3</v>
      </c>
      <c r="J20" s="101">
        <f>E45</f>
        <v>24112</v>
      </c>
      <c r="K20" s="38">
        <f>I20*J20</f>
        <v>72336</v>
      </c>
      <c r="L20" s="46">
        <v>3</v>
      </c>
      <c r="M20" s="101">
        <f>F45</f>
        <v>6790</v>
      </c>
      <c r="N20" s="38">
        <f>L20*M20</f>
        <v>20370</v>
      </c>
      <c r="O20" s="46">
        <v>3</v>
      </c>
      <c r="P20" s="101">
        <f>H45</f>
        <v>236</v>
      </c>
      <c r="Q20" s="38">
        <f>O20*P20</f>
        <v>708</v>
      </c>
      <c r="R20" s="46">
        <v>3</v>
      </c>
      <c r="S20" s="101">
        <f>I45</f>
        <v>255</v>
      </c>
      <c r="T20" s="38">
        <f>R20*S20</f>
        <v>765</v>
      </c>
      <c r="U20" s="46">
        <v>0</v>
      </c>
      <c r="V20" s="101">
        <f>SUM((G45:I45))</f>
        <v>755</v>
      </c>
      <c r="W20" s="38">
        <v>0</v>
      </c>
      <c r="X20" s="62">
        <f t="shared" si="5"/>
        <v>4595444.45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564422</v>
      </c>
      <c r="I21" s="40">
        <v>2</v>
      </c>
      <c r="J21" s="102"/>
      <c r="K21" s="38">
        <f>I21*J20</f>
        <v>48224</v>
      </c>
      <c r="L21" s="40">
        <v>2</v>
      </c>
      <c r="M21" s="102"/>
      <c r="N21" s="38">
        <f>L21*M20</f>
        <v>13580</v>
      </c>
      <c r="O21" s="40">
        <v>2</v>
      </c>
      <c r="P21" s="102"/>
      <c r="Q21" s="38">
        <f>O21*P20</f>
        <v>472</v>
      </c>
      <c r="R21" s="40">
        <v>2</v>
      </c>
      <c r="S21" s="102"/>
      <c r="T21" s="38">
        <f>R21*S20</f>
        <v>510</v>
      </c>
      <c r="U21" s="40">
        <v>0</v>
      </c>
      <c r="V21" s="102"/>
      <c r="W21" s="38">
        <v>0</v>
      </c>
      <c r="X21" s="62">
        <f t="shared" si="5"/>
        <v>627208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2822110</v>
      </c>
      <c r="I23" s="40">
        <v>5</v>
      </c>
      <c r="J23" s="102"/>
      <c r="K23" s="38">
        <f>I23*J20</f>
        <v>120560</v>
      </c>
      <c r="L23" s="40">
        <v>14</v>
      </c>
      <c r="M23" s="102"/>
      <c r="N23" s="38">
        <f>L23*M20</f>
        <v>95060</v>
      </c>
      <c r="O23" s="40">
        <v>5</v>
      </c>
      <c r="P23" s="102"/>
      <c r="Q23" s="38">
        <f>O23*P20</f>
        <v>1180</v>
      </c>
      <c r="R23" s="40">
        <v>14</v>
      </c>
      <c r="S23" s="102"/>
      <c r="T23" s="38">
        <f>R23*S20</f>
        <v>3570</v>
      </c>
      <c r="U23" s="40">
        <v>0</v>
      </c>
      <c r="V23" s="102"/>
      <c r="W23" s="38">
        <v>0</v>
      </c>
      <c r="X23" s="62">
        <f t="shared" si="5"/>
        <v>3042480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564422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14345</v>
      </c>
      <c r="X24" s="62">
        <f>T24+Q24+N24+K24+H24+W24</f>
        <v>578767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437427.05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437427.05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8889646.5</v>
      </c>
      <c r="I26" s="43">
        <f t="shared" si="9"/>
        <v>10</v>
      </c>
      <c r="J26" s="104"/>
      <c r="K26" s="43">
        <f t="shared" si="9"/>
        <v>241120</v>
      </c>
      <c r="L26" s="43">
        <f t="shared" si="9"/>
        <v>19</v>
      </c>
      <c r="M26" s="104"/>
      <c r="N26" s="43">
        <f t="shared" ref="N26:R26" si="10">SUM(N20:N25)</f>
        <v>129010</v>
      </c>
      <c r="O26" s="43">
        <f t="shared" si="10"/>
        <v>10</v>
      </c>
      <c r="P26" s="104"/>
      <c r="Q26" s="43">
        <f t="shared" si="10"/>
        <v>2360</v>
      </c>
      <c r="R26" s="43">
        <f t="shared" si="10"/>
        <v>19</v>
      </c>
      <c r="S26" s="104"/>
      <c r="T26" s="43">
        <f t="shared" ref="T26:W26" si="11">SUM(T20:T25)</f>
        <v>4845</v>
      </c>
      <c r="U26" s="43">
        <f t="shared" si="11"/>
        <v>19</v>
      </c>
      <c r="V26" s="104"/>
      <c r="W26" s="43">
        <f t="shared" si="11"/>
        <v>14345</v>
      </c>
      <c r="X26" s="65">
        <f>T26+Q26+N26+K26+H26+W26</f>
        <v>9281326.5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395432.1</v>
      </c>
      <c r="E31" s="22">
        <f t="shared" ref="E31:E34" si="12">X4</f>
        <v>4732017.45</v>
      </c>
      <c r="F31" s="22">
        <f t="shared" ref="F31:F34" si="13">E31-D31</f>
        <v>4336585.3499999996</v>
      </c>
      <c r="G31" s="22">
        <f t="shared" ref="G31:G34" si="14">X12</f>
        <v>4524536.25</v>
      </c>
      <c r="H31" s="22">
        <f t="shared" ref="H31:H34" si="15">G31-D31</f>
        <v>4129104.15</v>
      </c>
      <c r="I31" s="22">
        <f t="shared" ref="I31:I34" si="16">X20</f>
        <v>4595444.45</v>
      </c>
      <c r="J31" s="50">
        <f t="shared" ref="J31:J34" si="17">I31-D31</f>
        <v>4200012.3499999996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79876.539999999994</v>
      </c>
      <c r="E32" s="22">
        <f t="shared" si="12"/>
        <v>647636</v>
      </c>
      <c r="F32" s="22">
        <f t="shared" si="13"/>
        <v>567759.46</v>
      </c>
      <c r="G32" s="22">
        <f t="shared" si="14"/>
        <v>619960</v>
      </c>
      <c r="H32" s="22">
        <f t="shared" si="15"/>
        <v>540083.46</v>
      </c>
      <c r="I32" s="22">
        <f t="shared" si="16"/>
        <v>627208</v>
      </c>
      <c r="J32" s="50">
        <f t="shared" si="17"/>
        <v>547331.46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348901.74</v>
      </c>
      <c r="E33" s="22">
        <f>X7+X8</f>
        <v>3734309</v>
      </c>
      <c r="F33" s="22">
        <f t="shared" si="13"/>
        <v>3385407.26</v>
      </c>
      <c r="G33" s="22">
        <f>X15+X16</f>
        <v>3573041</v>
      </c>
      <c r="H33" s="22">
        <f t="shared" si="15"/>
        <v>3224139.26</v>
      </c>
      <c r="I33" s="22">
        <f>X23+X24</f>
        <v>3621247</v>
      </c>
      <c r="J33" s="50">
        <f t="shared" si="17"/>
        <v>3272345.26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324056.61</v>
      </c>
      <c r="E34" s="22">
        <f t="shared" si="12"/>
        <v>3138536</v>
      </c>
      <c r="F34" s="22">
        <f t="shared" si="13"/>
        <v>2814479.39</v>
      </c>
      <c r="G34" s="22">
        <f t="shared" si="14"/>
        <v>3003223</v>
      </c>
      <c r="H34" s="22">
        <f t="shared" si="15"/>
        <v>2679166.39</v>
      </c>
      <c r="I34" s="22">
        <f t="shared" si="16"/>
        <v>3042480</v>
      </c>
      <c r="J34" s="50">
        <f t="shared" si="17"/>
        <v>2718423.39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24845.13</v>
      </c>
      <c r="E35" s="22">
        <f t="shared" si="18"/>
        <v>595773</v>
      </c>
      <c r="F35" s="22">
        <f t="shared" si="18"/>
        <v>570927.87</v>
      </c>
      <c r="G35" s="22">
        <f t="shared" si="18"/>
        <v>569818</v>
      </c>
      <c r="H35" s="22">
        <f t="shared" si="18"/>
        <v>544972.87</v>
      </c>
      <c r="I35" s="22">
        <f t="shared" si="18"/>
        <v>578767</v>
      </c>
      <c r="J35" s="50">
        <f t="shared" si="18"/>
        <v>553921.87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8990.2099999999991</v>
      </c>
      <c r="E36" s="22">
        <f>X9</f>
        <v>450106.05</v>
      </c>
      <c r="F36" s="22">
        <f>E36-D36</f>
        <v>441115.84</v>
      </c>
      <c r="G36" s="22">
        <f>X17</f>
        <v>430241.25</v>
      </c>
      <c r="H36" s="22">
        <f>G36-D36</f>
        <v>421251.04</v>
      </c>
      <c r="I36" s="22">
        <f>X25</f>
        <v>437427.05</v>
      </c>
      <c r="J36" s="50">
        <f>I36-D36</f>
        <v>428436.84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833200.59</v>
      </c>
      <c r="E37" s="22">
        <f>X10</f>
        <v>9564068.5</v>
      </c>
      <c r="F37" s="22">
        <f>E37-D37</f>
        <v>8730867.9100000001</v>
      </c>
      <c r="G37" s="22">
        <f>X18</f>
        <v>9147778.5</v>
      </c>
      <c r="H37" s="22">
        <f>G37-D37</f>
        <v>8314577.9100000001</v>
      </c>
      <c r="I37" s="22">
        <f>X26</f>
        <v>9281326.5</v>
      </c>
      <c r="J37" s="50">
        <f>I37-D37</f>
        <v>8448125.9100000001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9221877.9100000001</v>
      </c>
      <c r="G38" s="18"/>
      <c r="H38" s="22">
        <f>H37+C48+C49</f>
        <v>8805587.9100000001</v>
      </c>
      <c r="I38" s="18"/>
      <c r="J38" s="50">
        <f>J37+C48+C49</f>
        <v>8939135.9100000001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290391</v>
      </c>
      <c r="C43" s="21">
        <v>27789</v>
      </c>
      <c r="D43" s="25">
        <v>228901</v>
      </c>
      <c r="E43" s="21">
        <v>25678</v>
      </c>
      <c r="F43" s="21">
        <v>7234</v>
      </c>
      <c r="G43" s="21">
        <v>274</v>
      </c>
      <c r="H43" s="21">
        <v>250</v>
      </c>
      <c r="I43" s="52">
        <v>265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277575</v>
      </c>
      <c r="C44" s="21">
        <v>27011</v>
      </c>
      <c r="D44" s="25">
        <v>217890</v>
      </c>
      <c r="E44" s="21">
        <v>24890</v>
      </c>
      <c r="F44" s="21">
        <v>7012</v>
      </c>
      <c r="G44" s="21">
        <v>269</v>
      </c>
      <c r="H44" s="21">
        <v>243</v>
      </c>
      <c r="I44" s="52">
        <v>260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282211</v>
      </c>
      <c r="C45" s="28">
        <v>26233</v>
      </c>
      <c r="D45" s="29">
        <v>224321</v>
      </c>
      <c r="E45" s="28">
        <v>24112</v>
      </c>
      <c r="F45" s="28">
        <v>6790</v>
      </c>
      <c r="G45" s="28">
        <v>264</v>
      </c>
      <c r="H45" s="28">
        <v>236</v>
      </c>
      <c r="I45" s="53">
        <v>255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78600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412410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5"/>
  <sheetViews>
    <sheetView topLeftCell="A17" zoomScale="60" zoomScaleNormal="60" workbookViewId="0">
      <selection activeCell="E52" sqref="E52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87</v>
      </c>
      <c r="C1" s="70"/>
      <c r="D1" s="70" t="s">
        <v>2</v>
      </c>
      <c r="E1" s="70" t="s">
        <v>88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241722</v>
      </c>
      <c r="H4" s="38">
        <f>F4*G4</f>
        <v>3855465.9</v>
      </c>
      <c r="I4" s="45">
        <v>3</v>
      </c>
      <c r="J4" s="101">
        <f>E43</f>
        <v>21900</v>
      </c>
      <c r="K4" s="38">
        <f>I4*J4</f>
        <v>65700</v>
      </c>
      <c r="L4" s="45">
        <v>3</v>
      </c>
      <c r="M4" s="101">
        <f>F43</f>
        <v>6456</v>
      </c>
      <c r="N4" s="38">
        <f>L4*M4</f>
        <v>19368</v>
      </c>
      <c r="O4" s="46">
        <v>3</v>
      </c>
      <c r="P4" s="101">
        <f>H43</f>
        <v>223</v>
      </c>
      <c r="Q4" s="38">
        <f>O4*P4</f>
        <v>669</v>
      </c>
      <c r="R4" s="46">
        <v>3</v>
      </c>
      <c r="S4" s="101">
        <f>I43</f>
        <v>242</v>
      </c>
      <c r="T4" s="38">
        <f>R4*S4</f>
        <v>726</v>
      </c>
      <c r="U4" s="46">
        <v>0</v>
      </c>
      <c r="V4" s="101">
        <f>SUM(G43:I43)</f>
        <v>711</v>
      </c>
      <c r="W4" s="38">
        <v>0</v>
      </c>
      <c r="X4" s="62">
        <f t="shared" ref="X4:X7" si="0">T4+Q4+N4+K4+H4</f>
        <v>3941928.9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483444</v>
      </c>
      <c r="I5" s="45">
        <v>2</v>
      </c>
      <c r="J5" s="102"/>
      <c r="K5" s="38">
        <f>I5*J4</f>
        <v>43800</v>
      </c>
      <c r="L5" s="45">
        <v>2</v>
      </c>
      <c r="M5" s="102"/>
      <c r="N5" s="38">
        <f>L5*M4</f>
        <v>12912</v>
      </c>
      <c r="O5" s="40">
        <v>2</v>
      </c>
      <c r="P5" s="102"/>
      <c r="Q5" s="38">
        <f>O5*P4</f>
        <v>446</v>
      </c>
      <c r="R5" s="40">
        <v>2</v>
      </c>
      <c r="S5" s="102"/>
      <c r="T5" s="38">
        <f>R5*S4</f>
        <v>484</v>
      </c>
      <c r="U5" s="40">
        <v>0</v>
      </c>
      <c r="V5" s="102"/>
      <c r="W5" s="38">
        <v>0</v>
      </c>
      <c r="X5" s="62">
        <f t="shared" si="0"/>
        <v>541086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2417220</v>
      </c>
      <c r="I7" s="45">
        <v>5</v>
      </c>
      <c r="J7" s="102"/>
      <c r="K7" s="38">
        <f>I7*J4</f>
        <v>109500</v>
      </c>
      <c r="L7" s="45">
        <v>14</v>
      </c>
      <c r="M7" s="102"/>
      <c r="N7" s="38">
        <f>L7*M4</f>
        <v>90384</v>
      </c>
      <c r="O7" s="40">
        <v>5</v>
      </c>
      <c r="P7" s="102"/>
      <c r="Q7" s="38">
        <f>O7*P4</f>
        <v>1115</v>
      </c>
      <c r="R7" s="40">
        <v>14</v>
      </c>
      <c r="S7" s="102"/>
      <c r="T7" s="38">
        <f>R7*S4</f>
        <v>3388</v>
      </c>
      <c r="U7" s="40">
        <v>0</v>
      </c>
      <c r="V7" s="102"/>
      <c r="W7" s="38">
        <v>0</v>
      </c>
      <c r="X7" s="62">
        <f t="shared" si="0"/>
        <v>2621607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483444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13509</v>
      </c>
      <c r="X8" s="62">
        <f>T8+Q8+N8+K8+H8+W8</f>
        <v>496953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374669.1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374669.1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7614243</v>
      </c>
      <c r="I10" s="41">
        <f t="shared" si="2"/>
        <v>10</v>
      </c>
      <c r="J10" s="103"/>
      <c r="K10" s="41">
        <f t="shared" si="2"/>
        <v>219000</v>
      </c>
      <c r="L10" s="41">
        <f t="shared" si="2"/>
        <v>19</v>
      </c>
      <c r="M10" s="103"/>
      <c r="N10" s="41">
        <f t="shared" ref="N10:R10" si="3">SUM(N4:N9)</f>
        <v>122664</v>
      </c>
      <c r="O10" s="41">
        <f t="shared" si="3"/>
        <v>10</v>
      </c>
      <c r="P10" s="103"/>
      <c r="Q10" s="41">
        <f t="shared" si="3"/>
        <v>2230</v>
      </c>
      <c r="R10" s="41">
        <f t="shared" si="3"/>
        <v>19</v>
      </c>
      <c r="S10" s="103"/>
      <c r="T10" s="41">
        <f t="shared" ref="T10:W10" si="4">SUM(T4:T9)</f>
        <v>4598</v>
      </c>
      <c r="U10" s="41">
        <f t="shared" si="4"/>
        <v>19</v>
      </c>
      <c r="V10" s="103"/>
      <c r="W10" s="41">
        <f t="shared" si="4"/>
        <v>13509</v>
      </c>
      <c r="X10" s="63">
        <f>T10+Q10+N10+K10+H10+W10</f>
        <v>7976244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275251</v>
      </c>
      <c r="H12" s="38">
        <f>F12*G12</f>
        <v>4390253.45</v>
      </c>
      <c r="I12" s="46">
        <v>3</v>
      </c>
      <c r="J12" s="101">
        <f>E44</f>
        <v>24789</v>
      </c>
      <c r="K12" s="38">
        <f>I12*J12</f>
        <v>74367</v>
      </c>
      <c r="L12" s="46">
        <v>3</v>
      </c>
      <c r="M12" s="101">
        <f>F44</f>
        <v>7123</v>
      </c>
      <c r="N12" s="38">
        <f>L12*M12</f>
        <v>21369</v>
      </c>
      <c r="O12" s="46">
        <v>3</v>
      </c>
      <c r="P12" s="101">
        <f>H44</f>
        <v>245</v>
      </c>
      <c r="Q12" s="38">
        <f>O12*P12</f>
        <v>735</v>
      </c>
      <c r="R12" s="46">
        <v>3</v>
      </c>
      <c r="S12" s="101">
        <f>I44</f>
        <v>258</v>
      </c>
      <c r="T12" s="38">
        <f>R12*S12</f>
        <v>774</v>
      </c>
      <c r="U12" s="46">
        <v>0</v>
      </c>
      <c r="V12" s="101">
        <f>SUM(G44:I44)</f>
        <v>771</v>
      </c>
      <c r="W12" s="38">
        <v>0</v>
      </c>
      <c r="X12" s="62">
        <f t="shared" si="1"/>
        <v>4487498.45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550502</v>
      </c>
      <c r="I13" s="40">
        <v>2</v>
      </c>
      <c r="J13" s="102"/>
      <c r="K13" s="38">
        <f>I13*J12</f>
        <v>49578</v>
      </c>
      <c r="L13" s="40">
        <v>2</v>
      </c>
      <c r="M13" s="102"/>
      <c r="N13" s="38">
        <f>L13*M12</f>
        <v>14246</v>
      </c>
      <c r="O13" s="40">
        <v>2</v>
      </c>
      <c r="P13" s="102"/>
      <c r="Q13" s="38">
        <f>O13*P12</f>
        <v>490</v>
      </c>
      <c r="R13" s="40">
        <v>2</v>
      </c>
      <c r="S13" s="102"/>
      <c r="T13" s="38">
        <f>R13*S12</f>
        <v>516</v>
      </c>
      <c r="U13" s="40">
        <v>0</v>
      </c>
      <c r="V13" s="102"/>
      <c r="W13" s="38">
        <v>0</v>
      </c>
      <c r="X13" s="62">
        <f t="shared" si="1"/>
        <v>615332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2752510</v>
      </c>
      <c r="I15" s="40">
        <v>5</v>
      </c>
      <c r="J15" s="102"/>
      <c r="K15" s="38">
        <f>I15*J12</f>
        <v>123945</v>
      </c>
      <c r="L15" s="40">
        <v>14</v>
      </c>
      <c r="M15" s="102"/>
      <c r="N15" s="38">
        <f>L15*M12</f>
        <v>99722</v>
      </c>
      <c r="O15" s="40">
        <v>5</v>
      </c>
      <c r="P15" s="102"/>
      <c r="Q15" s="38">
        <f>O15*P12</f>
        <v>1225</v>
      </c>
      <c r="R15" s="40">
        <v>14</v>
      </c>
      <c r="S15" s="102"/>
      <c r="T15" s="38">
        <f>R15*S12</f>
        <v>3612</v>
      </c>
      <c r="U15" s="40">
        <v>0</v>
      </c>
      <c r="V15" s="102"/>
      <c r="W15" s="38">
        <v>0</v>
      </c>
      <c r="X15" s="62">
        <f t="shared" si="1"/>
        <v>2981014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550502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14649</v>
      </c>
      <c r="X16" s="62">
        <f>T16+Q16+N16+K16+H16+W16</f>
        <v>565151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426639.05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426639.05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8670406.5</v>
      </c>
      <c r="I18" s="41">
        <f t="shared" si="6"/>
        <v>10</v>
      </c>
      <c r="J18" s="103"/>
      <c r="K18" s="41">
        <f t="shared" si="6"/>
        <v>247890</v>
      </c>
      <c r="L18" s="41">
        <f t="shared" si="6"/>
        <v>19</v>
      </c>
      <c r="M18" s="103"/>
      <c r="N18" s="41">
        <f t="shared" ref="N18:R18" si="7">SUM(N12:N17)</f>
        <v>135337</v>
      </c>
      <c r="O18" s="41">
        <f t="shared" si="7"/>
        <v>10</v>
      </c>
      <c r="P18" s="103"/>
      <c r="Q18" s="41">
        <f t="shared" si="7"/>
        <v>2450</v>
      </c>
      <c r="R18" s="41">
        <f t="shared" si="7"/>
        <v>19</v>
      </c>
      <c r="S18" s="103"/>
      <c r="T18" s="41">
        <f t="shared" ref="T18:W18" si="8">SUM(T12:T17)</f>
        <v>4902</v>
      </c>
      <c r="U18" s="41">
        <f t="shared" si="8"/>
        <v>19</v>
      </c>
      <c r="V18" s="103"/>
      <c r="W18" s="41">
        <f t="shared" si="8"/>
        <v>14649</v>
      </c>
      <c r="X18" s="63">
        <f>T18+Q18+N18+K18+H18+W18</f>
        <v>9075634.5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262235</v>
      </c>
      <c r="H20" s="38">
        <f>F20*G20</f>
        <v>4182648.25</v>
      </c>
      <c r="I20" s="46">
        <v>3</v>
      </c>
      <c r="J20" s="101">
        <f>E45</f>
        <v>23901</v>
      </c>
      <c r="K20" s="38">
        <f>I20*J20</f>
        <v>71703</v>
      </c>
      <c r="L20" s="46">
        <v>3</v>
      </c>
      <c r="M20" s="101">
        <f>F45</f>
        <v>6901</v>
      </c>
      <c r="N20" s="38">
        <f>L20*M20</f>
        <v>20703</v>
      </c>
      <c r="O20" s="46">
        <v>3</v>
      </c>
      <c r="P20" s="101">
        <f>H45</f>
        <v>238</v>
      </c>
      <c r="Q20" s="38">
        <f>O20*P20</f>
        <v>714</v>
      </c>
      <c r="R20" s="46">
        <v>3</v>
      </c>
      <c r="S20" s="101">
        <f>I45</f>
        <v>253</v>
      </c>
      <c r="T20" s="38">
        <f>R20*S20</f>
        <v>759</v>
      </c>
      <c r="U20" s="46">
        <v>0</v>
      </c>
      <c r="V20" s="101">
        <f>SUM((G45:I45))</f>
        <v>754</v>
      </c>
      <c r="W20" s="38">
        <v>0</v>
      </c>
      <c r="X20" s="62">
        <f t="shared" si="5"/>
        <v>4276527.25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524470</v>
      </c>
      <c r="I21" s="40">
        <v>2</v>
      </c>
      <c r="J21" s="102"/>
      <c r="K21" s="38">
        <f>I21*J20</f>
        <v>47802</v>
      </c>
      <c r="L21" s="40">
        <v>2</v>
      </c>
      <c r="M21" s="102"/>
      <c r="N21" s="38">
        <f>L21*M20</f>
        <v>13802</v>
      </c>
      <c r="O21" s="40">
        <v>2</v>
      </c>
      <c r="P21" s="102"/>
      <c r="Q21" s="38">
        <f>O21*P20</f>
        <v>476</v>
      </c>
      <c r="R21" s="40">
        <v>2</v>
      </c>
      <c r="S21" s="102"/>
      <c r="T21" s="38">
        <f>R21*S20</f>
        <v>506</v>
      </c>
      <c r="U21" s="40">
        <v>0</v>
      </c>
      <c r="V21" s="102"/>
      <c r="W21" s="38">
        <v>0</v>
      </c>
      <c r="X21" s="62">
        <f t="shared" si="5"/>
        <v>587056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2622350</v>
      </c>
      <c r="I23" s="40">
        <v>5</v>
      </c>
      <c r="J23" s="102"/>
      <c r="K23" s="38">
        <f>I23*J20</f>
        <v>119505</v>
      </c>
      <c r="L23" s="40">
        <v>14</v>
      </c>
      <c r="M23" s="102"/>
      <c r="N23" s="38">
        <f>L23*M20</f>
        <v>96614</v>
      </c>
      <c r="O23" s="40">
        <v>5</v>
      </c>
      <c r="P23" s="102"/>
      <c r="Q23" s="38">
        <f>O23*P20</f>
        <v>1190</v>
      </c>
      <c r="R23" s="40">
        <v>14</v>
      </c>
      <c r="S23" s="102"/>
      <c r="T23" s="38">
        <f>R23*S20</f>
        <v>3542</v>
      </c>
      <c r="U23" s="40">
        <v>0</v>
      </c>
      <c r="V23" s="102"/>
      <c r="W23" s="38">
        <v>0</v>
      </c>
      <c r="X23" s="62">
        <f t="shared" si="5"/>
        <v>2843201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524470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14326</v>
      </c>
      <c r="X24" s="62">
        <f>T24+Q24+N24+K24+H24+W24</f>
        <v>538796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406464.25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406464.25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8260402.5</v>
      </c>
      <c r="I26" s="43">
        <f t="shared" si="9"/>
        <v>10</v>
      </c>
      <c r="J26" s="104"/>
      <c r="K26" s="43">
        <f t="shared" si="9"/>
        <v>239010</v>
      </c>
      <c r="L26" s="43">
        <f t="shared" si="9"/>
        <v>19</v>
      </c>
      <c r="M26" s="104"/>
      <c r="N26" s="43">
        <f t="shared" ref="N26:R26" si="10">SUM(N20:N25)</f>
        <v>131119</v>
      </c>
      <c r="O26" s="43">
        <f t="shared" si="10"/>
        <v>10</v>
      </c>
      <c r="P26" s="104"/>
      <c r="Q26" s="43">
        <f t="shared" si="10"/>
        <v>2380</v>
      </c>
      <c r="R26" s="43">
        <f t="shared" si="10"/>
        <v>19</v>
      </c>
      <c r="S26" s="104"/>
      <c r="T26" s="43">
        <f t="shared" ref="T26:W26" si="11">SUM(T20:T25)</f>
        <v>4807</v>
      </c>
      <c r="U26" s="43">
        <f t="shared" si="11"/>
        <v>19</v>
      </c>
      <c r="V26" s="104"/>
      <c r="W26" s="43">
        <f t="shared" si="11"/>
        <v>14326</v>
      </c>
      <c r="X26" s="65">
        <f>T26+Q26+N26+K26+H26+W26</f>
        <v>8652044.5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11334567.890000001</v>
      </c>
      <c r="E31" s="22">
        <f t="shared" ref="E31:E34" si="12">X4</f>
        <v>3941928.9</v>
      </c>
      <c r="F31" s="22">
        <f t="shared" ref="F31:F34" si="13">E31-D31</f>
        <v>-7392638.9900000002</v>
      </c>
      <c r="G31" s="22">
        <f t="shared" ref="G31:G34" si="14">X12</f>
        <v>4487498.45</v>
      </c>
      <c r="H31" s="22">
        <f t="shared" ref="H31:H34" si="15">G31-D31</f>
        <v>-6847069.4400000004</v>
      </c>
      <c r="I31" s="22">
        <f t="shared" ref="I31:I34" si="16">X20</f>
        <v>4276527.25</v>
      </c>
      <c r="J31" s="50">
        <f t="shared" ref="J31:J34" si="17">I31-D31</f>
        <v>-7058040.6399999997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67890.12</v>
      </c>
      <c r="E32" s="22">
        <f t="shared" si="12"/>
        <v>541086</v>
      </c>
      <c r="F32" s="22">
        <f t="shared" si="13"/>
        <v>473195.88</v>
      </c>
      <c r="G32" s="22">
        <f t="shared" si="14"/>
        <v>615332</v>
      </c>
      <c r="H32" s="22">
        <f t="shared" si="15"/>
        <v>547441.88</v>
      </c>
      <c r="I32" s="22">
        <f t="shared" si="16"/>
        <v>587056</v>
      </c>
      <c r="J32" s="50">
        <f t="shared" si="17"/>
        <v>519165.88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315678.90000000002</v>
      </c>
      <c r="E33" s="22">
        <f>X7+X8</f>
        <v>3118560</v>
      </c>
      <c r="F33" s="22">
        <f t="shared" si="13"/>
        <v>2802881.1</v>
      </c>
      <c r="G33" s="22">
        <f>X15+X16</f>
        <v>3546165</v>
      </c>
      <c r="H33" s="22">
        <f t="shared" si="15"/>
        <v>3230486.1</v>
      </c>
      <c r="I33" s="22">
        <f>X23+X24</f>
        <v>3381997</v>
      </c>
      <c r="J33" s="50">
        <f t="shared" si="17"/>
        <v>3066318.1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292567.07</v>
      </c>
      <c r="E34" s="22">
        <f t="shared" si="12"/>
        <v>2621607</v>
      </c>
      <c r="F34" s="22">
        <f t="shared" si="13"/>
        <v>2329039.9300000002</v>
      </c>
      <c r="G34" s="22">
        <f t="shared" si="14"/>
        <v>2981014</v>
      </c>
      <c r="H34" s="22">
        <f t="shared" si="15"/>
        <v>2688446.93</v>
      </c>
      <c r="I34" s="22">
        <f t="shared" si="16"/>
        <v>2843201</v>
      </c>
      <c r="J34" s="50">
        <f t="shared" si="17"/>
        <v>2550633.9300000002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23111.83</v>
      </c>
      <c r="E35" s="22">
        <f t="shared" si="18"/>
        <v>496953</v>
      </c>
      <c r="F35" s="22">
        <f t="shared" si="18"/>
        <v>473841.17</v>
      </c>
      <c r="G35" s="22">
        <f t="shared" si="18"/>
        <v>565151</v>
      </c>
      <c r="H35" s="22">
        <f t="shared" si="18"/>
        <v>542039.17000000004</v>
      </c>
      <c r="I35" s="22">
        <f t="shared" si="18"/>
        <v>538796</v>
      </c>
      <c r="J35" s="50">
        <f t="shared" si="18"/>
        <v>515684.17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233140.12</v>
      </c>
      <c r="E36" s="22">
        <f>X9</f>
        <v>374669.1</v>
      </c>
      <c r="F36" s="22">
        <f>E36-D36</f>
        <v>141528.98000000001</v>
      </c>
      <c r="G36" s="22">
        <f>X17</f>
        <v>426639.05</v>
      </c>
      <c r="H36" s="22">
        <f>G36-D36</f>
        <v>193498.93</v>
      </c>
      <c r="I36" s="22">
        <f>X25</f>
        <v>406464.25</v>
      </c>
      <c r="J36" s="50">
        <f>I36-D36</f>
        <v>173324.13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11951277.029999999</v>
      </c>
      <c r="E37" s="22">
        <f>X10</f>
        <v>7976244</v>
      </c>
      <c r="F37" s="22">
        <f>E37-D37</f>
        <v>-3975033.03</v>
      </c>
      <c r="G37" s="22">
        <f>X18</f>
        <v>9075634.5</v>
      </c>
      <c r="H37" s="22">
        <f>G37-D37</f>
        <v>-2875642.53</v>
      </c>
      <c r="I37" s="22">
        <f>X26</f>
        <v>8652044.5</v>
      </c>
      <c r="J37" s="50">
        <f>I37-D37</f>
        <v>-3299232.53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-3830686.03</v>
      </c>
      <c r="G38" s="18"/>
      <c r="H38" s="22">
        <f>H37+C48+C49</f>
        <v>-2731295.53</v>
      </c>
      <c r="I38" s="18"/>
      <c r="J38" s="50">
        <f>J37+C48+C49</f>
        <v>-3154885.53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241722</v>
      </c>
      <c r="C43" s="21">
        <v>23890</v>
      </c>
      <c r="D43" s="25">
        <v>188765</v>
      </c>
      <c r="E43" s="21">
        <v>21900</v>
      </c>
      <c r="F43" s="21">
        <v>6456</v>
      </c>
      <c r="G43" s="21">
        <v>246</v>
      </c>
      <c r="H43" s="21">
        <v>223</v>
      </c>
      <c r="I43" s="52">
        <v>242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275251</v>
      </c>
      <c r="C44" s="21">
        <v>26890</v>
      </c>
      <c r="D44" s="25">
        <v>215678</v>
      </c>
      <c r="E44" s="21">
        <v>24789</v>
      </c>
      <c r="F44" s="21">
        <v>7123</v>
      </c>
      <c r="G44" s="21">
        <v>268</v>
      </c>
      <c r="H44" s="21">
        <v>245</v>
      </c>
      <c r="I44" s="52">
        <v>258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262235</v>
      </c>
      <c r="C45" s="28">
        <v>26112</v>
      </c>
      <c r="D45" s="29">
        <v>204567</v>
      </c>
      <c r="E45" s="28">
        <v>23901</v>
      </c>
      <c r="F45" s="28">
        <v>6901</v>
      </c>
      <c r="G45" s="28">
        <v>263</v>
      </c>
      <c r="H45" s="28">
        <v>238</v>
      </c>
      <c r="I45" s="53">
        <v>253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78600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65747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5"/>
  <sheetViews>
    <sheetView topLeftCell="A4" zoomScale="60" zoomScaleNormal="60" workbookViewId="0">
      <selection activeCell="K43" sqref="K43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89</v>
      </c>
      <c r="C1" s="70"/>
      <c r="D1" s="70" t="s">
        <v>2</v>
      </c>
      <c r="E1" s="70" t="s">
        <v>90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85854</v>
      </c>
      <c r="H4" s="38">
        <f>F4*G4</f>
        <v>1369371.3</v>
      </c>
      <c r="I4" s="45">
        <v>3</v>
      </c>
      <c r="J4" s="101">
        <f>E43</f>
        <v>25134</v>
      </c>
      <c r="K4" s="38">
        <f>I4*J4</f>
        <v>75402</v>
      </c>
      <c r="L4" s="45">
        <v>3</v>
      </c>
      <c r="M4" s="101">
        <f>F43</f>
        <v>7123</v>
      </c>
      <c r="N4" s="38">
        <f>L4*M4</f>
        <v>21369</v>
      </c>
      <c r="O4" s="46">
        <v>3</v>
      </c>
      <c r="P4" s="101">
        <f>H43</f>
        <v>247</v>
      </c>
      <c r="Q4" s="38">
        <f>O4*P4</f>
        <v>741</v>
      </c>
      <c r="R4" s="46">
        <v>3</v>
      </c>
      <c r="S4" s="101">
        <f>I43</f>
        <v>264</v>
      </c>
      <c r="T4" s="38">
        <f>R4*S4</f>
        <v>792</v>
      </c>
      <c r="U4" s="46">
        <v>0</v>
      </c>
      <c r="V4" s="101">
        <f>SUM(G43:I43)</f>
        <v>785</v>
      </c>
      <c r="W4" s="38">
        <v>0</v>
      </c>
      <c r="X4" s="62">
        <f t="shared" ref="X4:X7" si="0">T4+Q4+N4+K4+H4</f>
        <v>1467675.3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171708</v>
      </c>
      <c r="I5" s="45">
        <v>2</v>
      </c>
      <c r="J5" s="102"/>
      <c r="K5" s="38">
        <f>I5*J4</f>
        <v>50268</v>
      </c>
      <c r="L5" s="45">
        <v>2</v>
      </c>
      <c r="M5" s="102"/>
      <c r="N5" s="38">
        <f>L5*M4</f>
        <v>14246</v>
      </c>
      <c r="O5" s="40">
        <v>2</v>
      </c>
      <c r="P5" s="102"/>
      <c r="Q5" s="38">
        <f>O5*P4</f>
        <v>494</v>
      </c>
      <c r="R5" s="40">
        <v>2</v>
      </c>
      <c r="S5" s="102"/>
      <c r="T5" s="38">
        <f>R5*S4</f>
        <v>528</v>
      </c>
      <c r="U5" s="40">
        <v>0</v>
      </c>
      <c r="V5" s="102"/>
      <c r="W5" s="38">
        <v>0</v>
      </c>
      <c r="X5" s="62">
        <f t="shared" si="0"/>
        <v>237244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858540</v>
      </c>
      <c r="I7" s="45">
        <v>5</v>
      </c>
      <c r="J7" s="102"/>
      <c r="K7" s="38">
        <f>I7*J4</f>
        <v>125670</v>
      </c>
      <c r="L7" s="45">
        <v>14</v>
      </c>
      <c r="M7" s="102"/>
      <c r="N7" s="38">
        <f>L7*M4</f>
        <v>99722</v>
      </c>
      <c r="O7" s="40">
        <v>5</v>
      </c>
      <c r="P7" s="102"/>
      <c r="Q7" s="38">
        <f>O7*P4</f>
        <v>1235</v>
      </c>
      <c r="R7" s="40">
        <v>14</v>
      </c>
      <c r="S7" s="102"/>
      <c r="T7" s="38">
        <f>R7*S4</f>
        <v>3696</v>
      </c>
      <c r="U7" s="40">
        <v>0</v>
      </c>
      <c r="V7" s="102"/>
      <c r="W7" s="38">
        <v>0</v>
      </c>
      <c r="X7" s="62">
        <f t="shared" si="0"/>
        <v>1088863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171708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14915</v>
      </c>
      <c r="X8" s="62">
        <f>T8+Q8+N8+K8+H8+W8</f>
        <v>186623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133073.70000000001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133073.70000000001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2704401</v>
      </c>
      <c r="I10" s="41">
        <f t="shared" si="2"/>
        <v>10</v>
      </c>
      <c r="J10" s="103"/>
      <c r="K10" s="41">
        <f t="shared" si="2"/>
        <v>251340</v>
      </c>
      <c r="L10" s="41">
        <f t="shared" si="2"/>
        <v>19</v>
      </c>
      <c r="M10" s="103"/>
      <c r="N10" s="41">
        <f t="shared" ref="N10:R10" si="3">SUM(N4:N9)</f>
        <v>135337</v>
      </c>
      <c r="O10" s="41">
        <f t="shared" si="3"/>
        <v>10</v>
      </c>
      <c r="P10" s="103"/>
      <c r="Q10" s="41">
        <f t="shared" si="3"/>
        <v>2470</v>
      </c>
      <c r="R10" s="41">
        <f t="shared" si="3"/>
        <v>19</v>
      </c>
      <c r="S10" s="103"/>
      <c r="T10" s="41">
        <f t="shared" ref="T10:W10" si="4">SUM(T4:T9)</f>
        <v>5016</v>
      </c>
      <c r="U10" s="41">
        <f t="shared" si="4"/>
        <v>19</v>
      </c>
      <c r="V10" s="103"/>
      <c r="W10" s="41">
        <f t="shared" si="4"/>
        <v>14915</v>
      </c>
      <c r="X10" s="63">
        <f>T10+Q10+N10+K10+H10+W10</f>
        <v>3113479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81490</v>
      </c>
      <c r="H12" s="38">
        <f>F12*G12</f>
        <v>1299765.5</v>
      </c>
      <c r="I12" s="46">
        <v>3</v>
      </c>
      <c r="J12" s="101">
        <f>E44</f>
        <v>24356</v>
      </c>
      <c r="K12" s="38">
        <f>I12*J12</f>
        <v>73068</v>
      </c>
      <c r="L12" s="46">
        <v>3</v>
      </c>
      <c r="M12" s="101">
        <f>F44</f>
        <v>6901</v>
      </c>
      <c r="N12" s="38">
        <f>L12*M12</f>
        <v>20703</v>
      </c>
      <c r="O12" s="46">
        <v>3</v>
      </c>
      <c r="P12" s="101">
        <f>H44</f>
        <v>240</v>
      </c>
      <c r="Q12" s="38">
        <f>O12*P12</f>
        <v>720</v>
      </c>
      <c r="R12" s="46">
        <v>3</v>
      </c>
      <c r="S12" s="101">
        <f>I44</f>
        <v>259</v>
      </c>
      <c r="T12" s="38">
        <f>R12*S12</f>
        <v>777</v>
      </c>
      <c r="U12" s="46">
        <v>0</v>
      </c>
      <c r="V12" s="101">
        <f>SUM(G44:I44)</f>
        <v>768</v>
      </c>
      <c r="W12" s="38">
        <v>0</v>
      </c>
      <c r="X12" s="62">
        <f t="shared" si="1"/>
        <v>1395033.5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162980</v>
      </c>
      <c r="I13" s="40">
        <v>2</v>
      </c>
      <c r="J13" s="102"/>
      <c r="K13" s="38">
        <f>I13*J12</f>
        <v>48712</v>
      </c>
      <c r="L13" s="40">
        <v>2</v>
      </c>
      <c r="M13" s="102"/>
      <c r="N13" s="38">
        <f>L13*M12</f>
        <v>13802</v>
      </c>
      <c r="O13" s="40">
        <v>2</v>
      </c>
      <c r="P13" s="102"/>
      <c r="Q13" s="38">
        <f>O13*P12</f>
        <v>480</v>
      </c>
      <c r="R13" s="40">
        <v>2</v>
      </c>
      <c r="S13" s="102"/>
      <c r="T13" s="38">
        <f>R13*S12</f>
        <v>518</v>
      </c>
      <c r="U13" s="40">
        <v>0</v>
      </c>
      <c r="V13" s="102"/>
      <c r="W13" s="38">
        <v>0</v>
      </c>
      <c r="X13" s="62">
        <f t="shared" si="1"/>
        <v>226492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814900</v>
      </c>
      <c r="I15" s="40">
        <v>5</v>
      </c>
      <c r="J15" s="102"/>
      <c r="K15" s="38">
        <f>I15*J12</f>
        <v>121780</v>
      </c>
      <c r="L15" s="40">
        <v>14</v>
      </c>
      <c r="M15" s="102"/>
      <c r="N15" s="38">
        <f>L15*M12</f>
        <v>96614</v>
      </c>
      <c r="O15" s="40">
        <v>5</v>
      </c>
      <c r="P15" s="102"/>
      <c r="Q15" s="38">
        <f>O15*P12</f>
        <v>1200</v>
      </c>
      <c r="R15" s="40">
        <v>14</v>
      </c>
      <c r="S15" s="102"/>
      <c r="T15" s="38">
        <f>R15*S12</f>
        <v>3626</v>
      </c>
      <c r="U15" s="40">
        <v>0</v>
      </c>
      <c r="V15" s="102"/>
      <c r="W15" s="38">
        <v>0</v>
      </c>
      <c r="X15" s="62">
        <f t="shared" si="1"/>
        <v>1038120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162980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14592</v>
      </c>
      <c r="X16" s="62">
        <f>T16+Q16+N16+K16+H16+W16</f>
        <v>177572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126309.5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126309.5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2566935</v>
      </c>
      <c r="I18" s="41">
        <f t="shared" si="6"/>
        <v>10</v>
      </c>
      <c r="J18" s="103"/>
      <c r="K18" s="41">
        <f t="shared" si="6"/>
        <v>243560</v>
      </c>
      <c r="L18" s="41">
        <f t="shared" si="6"/>
        <v>19</v>
      </c>
      <c r="M18" s="103"/>
      <c r="N18" s="41">
        <f t="shared" ref="N18:R18" si="7">SUM(N12:N17)</f>
        <v>131119</v>
      </c>
      <c r="O18" s="41">
        <f t="shared" si="7"/>
        <v>10</v>
      </c>
      <c r="P18" s="103"/>
      <c r="Q18" s="41">
        <f t="shared" si="7"/>
        <v>2400</v>
      </c>
      <c r="R18" s="41">
        <f t="shared" si="7"/>
        <v>19</v>
      </c>
      <c r="S18" s="103"/>
      <c r="T18" s="41">
        <f t="shared" ref="T18:W18" si="8">SUM(T12:T17)</f>
        <v>4921</v>
      </c>
      <c r="U18" s="41">
        <f t="shared" si="8"/>
        <v>19</v>
      </c>
      <c r="V18" s="103"/>
      <c r="W18" s="41">
        <f t="shared" si="8"/>
        <v>14592</v>
      </c>
      <c r="X18" s="63">
        <f>T18+Q18+N18+K18+H18+W18</f>
        <v>2963527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76250</v>
      </c>
      <c r="H20" s="38">
        <f>F20*G20</f>
        <v>1216187.5</v>
      </c>
      <c r="I20" s="46">
        <v>3</v>
      </c>
      <c r="J20" s="101">
        <f>E45</f>
        <v>23578</v>
      </c>
      <c r="K20" s="38">
        <f>I20*J20</f>
        <v>70734</v>
      </c>
      <c r="L20" s="46">
        <v>3</v>
      </c>
      <c r="M20" s="101">
        <f>F45</f>
        <v>6890</v>
      </c>
      <c r="N20" s="38">
        <f>L20*M20</f>
        <v>20670</v>
      </c>
      <c r="O20" s="46">
        <v>3</v>
      </c>
      <c r="P20" s="101">
        <f>H45</f>
        <v>238</v>
      </c>
      <c r="Q20" s="38">
        <f>O20*P20</f>
        <v>714</v>
      </c>
      <c r="R20" s="46">
        <v>3</v>
      </c>
      <c r="S20" s="101">
        <f>I45</f>
        <v>253</v>
      </c>
      <c r="T20" s="38">
        <f>R20*S20</f>
        <v>759</v>
      </c>
      <c r="U20" s="46">
        <v>0</v>
      </c>
      <c r="V20" s="101">
        <f>SUM((G45:I45))</f>
        <v>748</v>
      </c>
      <c r="W20" s="38">
        <v>0</v>
      </c>
      <c r="X20" s="62">
        <f t="shared" si="5"/>
        <v>1309064.5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152500</v>
      </c>
      <c r="I21" s="40">
        <v>2</v>
      </c>
      <c r="J21" s="102"/>
      <c r="K21" s="38">
        <f>I21*J20</f>
        <v>47156</v>
      </c>
      <c r="L21" s="40">
        <v>2</v>
      </c>
      <c r="M21" s="102"/>
      <c r="N21" s="38">
        <f>L21*M20</f>
        <v>13780</v>
      </c>
      <c r="O21" s="40">
        <v>2</v>
      </c>
      <c r="P21" s="102"/>
      <c r="Q21" s="38">
        <f>O21*P20</f>
        <v>476</v>
      </c>
      <c r="R21" s="40">
        <v>2</v>
      </c>
      <c r="S21" s="102"/>
      <c r="T21" s="38">
        <f>R21*S20</f>
        <v>506</v>
      </c>
      <c r="U21" s="40">
        <v>0</v>
      </c>
      <c r="V21" s="102"/>
      <c r="W21" s="38">
        <v>0</v>
      </c>
      <c r="X21" s="62">
        <f t="shared" si="5"/>
        <v>214418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762500</v>
      </c>
      <c r="I23" s="40">
        <v>5</v>
      </c>
      <c r="J23" s="102"/>
      <c r="K23" s="38">
        <f>I23*J20</f>
        <v>117890</v>
      </c>
      <c r="L23" s="40">
        <v>14</v>
      </c>
      <c r="M23" s="102"/>
      <c r="N23" s="38">
        <f>L23*M20</f>
        <v>96460</v>
      </c>
      <c r="O23" s="40">
        <v>5</v>
      </c>
      <c r="P23" s="102"/>
      <c r="Q23" s="38">
        <f>O23*P20</f>
        <v>1190</v>
      </c>
      <c r="R23" s="40">
        <v>14</v>
      </c>
      <c r="S23" s="102"/>
      <c r="T23" s="38">
        <f>R23*S20</f>
        <v>3542</v>
      </c>
      <c r="U23" s="40">
        <v>0</v>
      </c>
      <c r="V23" s="102"/>
      <c r="W23" s="38">
        <v>0</v>
      </c>
      <c r="X23" s="62">
        <f t="shared" si="5"/>
        <v>981582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152500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14212</v>
      </c>
      <c r="X24" s="62">
        <f>T24+Q24+N24+K24+H24+W24</f>
        <v>166712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118187.5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118187.5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2401875</v>
      </c>
      <c r="I26" s="43">
        <f t="shared" si="9"/>
        <v>10</v>
      </c>
      <c r="J26" s="104"/>
      <c r="K26" s="43">
        <f t="shared" si="9"/>
        <v>235780</v>
      </c>
      <c r="L26" s="43">
        <f t="shared" si="9"/>
        <v>19</v>
      </c>
      <c r="M26" s="104"/>
      <c r="N26" s="43">
        <f t="shared" ref="N26:R26" si="10">SUM(N20:N25)</f>
        <v>130910</v>
      </c>
      <c r="O26" s="43">
        <f t="shared" si="10"/>
        <v>10</v>
      </c>
      <c r="P26" s="104"/>
      <c r="Q26" s="43">
        <f t="shared" si="10"/>
        <v>2380</v>
      </c>
      <c r="R26" s="43">
        <f t="shared" si="10"/>
        <v>19</v>
      </c>
      <c r="S26" s="104"/>
      <c r="T26" s="43">
        <f t="shared" ref="T26:W26" si="11">SUM(T20:T25)</f>
        <v>4807</v>
      </c>
      <c r="U26" s="43">
        <f t="shared" si="11"/>
        <v>19</v>
      </c>
      <c r="V26" s="104"/>
      <c r="W26" s="43">
        <f t="shared" si="11"/>
        <v>14212</v>
      </c>
      <c r="X26" s="65">
        <f>T26+Q26+N26+K26+H26+W26</f>
        <v>2789964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369876.54</v>
      </c>
      <c r="E31" s="22">
        <f t="shared" ref="E31:E34" si="12">X4</f>
        <v>1467675.3</v>
      </c>
      <c r="F31" s="22">
        <f t="shared" ref="F31:F34" si="13">E31-D31</f>
        <v>1097798.76</v>
      </c>
      <c r="G31" s="22">
        <f t="shared" ref="G31:G34" si="14">X12</f>
        <v>1395033.5</v>
      </c>
      <c r="H31" s="22">
        <f t="shared" ref="H31:H34" si="15">G31-D31</f>
        <v>1025156.96</v>
      </c>
      <c r="I31" s="22">
        <f t="shared" ref="I31:I34" si="16">X20</f>
        <v>1309064.5</v>
      </c>
      <c r="J31" s="50">
        <f t="shared" ref="J31:J34" si="17">I31-D31</f>
        <v>939187.96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73456.78</v>
      </c>
      <c r="E32" s="22">
        <f t="shared" si="12"/>
        <v>237244</v>
      </c>
      <c r="F32" s="22">
        <f t="shared" si="13"/>
        <v>163787.22</v>
      </c>
      <c r="G32" s="22">
        <f t="shared" si="14"/>
        <v>226492</v>
      </c>
      <c r="H32" s="22">
        <f t="shared" si="15"/>
        <v>153035.22</v>
      </c>
      <c r="I32" s="22">
        <f t="shared" si="16"/>
        <v>214418</v>
      </c>
      <c r="J32" s="50">
        <f t="shared" si="17"/>
        <v>140961.22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332109.87</v>
      </c>
      <c r="E33" s="22">
        <f>X7+X8</f>
        <v>1275486</v>
      </c>
      <c r="F33" s="22">
        <f t="shared" si="13"/>
        <v>943376.13</v>
      </c>
      <c r="G33" s="22">
        <f>X15+X16</f>
        <v>1215692</v>
      </c>
      <c r="H33" s="22">
        <f t="shared" si="15"/>
        <v>883582.13</v>
      </c>
      <c r="I33" s="22">
        <f>X23+X24</f>
        <v>1148294</v>
      </c>
      <c r="J33" s="50">
        <f t="shared" si="17"/>
        <v>816184.13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308463.58</v>
      </c>
      <c r="E34" s="22">
        <f t="shared" si="12"/>
        <v>1088863</v>
      </c>
      <c r="F34" s="22">
        <f t="shared" si="13"/>
        <v>780399.42</v>
      </c>
      <c r="G34" s="22">
        <f t="shared" si="14"/>
        <v>1038120</v>
      </c>
      <c r="H34" s="22">
        <f t="shared" si="15"/>
        <v>729656.42</v>
      </c>
      <c r="I34" s="22">
        <f t="shared" si="16"/>
        <v>981582</v>
      </c>
      <c r="J34" s="50">
        <f t="shared" si="17"/>
        <v>673118.42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23646.29</v>
      </c>
      <c r="E35" s="22">
        <f t="shared" si="18"/>
        <v>186623</v>
      </c>
      <c r="F35" s="22">
        <f t="shared" si="18"/>
        <v>162976.71</v>
      </c>
      <c r="G35" s="22">
        <f t="shared" si="18"/>
        <v>177572</v>
      </c>
      <c r="H35" s="22">
        <f t="shared" si="18"/>
        <v>153925.71</v>
      </c>
      <c r="I35" s="22">
        <f t="shared" si="18"/>
        <v>166712</v>
      </c>
      <c r="J35" s="50">
        <f t="shared" si="18"/>
        <v>143065.71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22141.21</v>
      </c>
      <c r="E36" s="22">
        <f>X9</f>
        <v>133073.70000000001</v>
      </c>
      <c r="F36" s="22">
        <f>E36-D36</f>
        <v>110932.49</v>
      </c>
      <c r="G36" s="22">
        <f>X17</f>
        <v>126309.5</v>
      </c>
      <c r="H36" s="22">
        <f>G36-D36</f>
        <v>104168.29</v>
      </c>
      <c r="I36" s="22">
        <f>X25</f>
        <v>118187.5</v>
      </c>
      <c r="J36" s="50">
        <f>I36-D36</f>
        <v>96046.29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797584.4</v>
      </c>
      <c r="E37" s="22">
        <f>X10</f>
        <v>3113479</v>
      </c>
      <c r="F37" s="22">
        <f>E37-D37</f>
        <v>2315894.6</v>
      </c>
      <c r="G37" s="22">
        <f>X18</f>
        <v>2963527</v>
      </c>
      <c r="H37" s="22">
        <f>G37-D37</f>
        <v>2165942.6</v>
      </c>
      <c r="I37" s="22">
        <f>X26</f>
        <v>2789964</v>
      </c>
      <c r="J37" s="50">
        <f>I37-D37</f>
        <v>1992379.6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2411594.6</v>
      </c>
      <c r="G38" s="18"/>
      <c r="H38" s="22">
        <f>H37+C48+C49</f>
        <v>2261642.6</v>
      </c>
      <c r="I38" s="18"/>
      <c r="J38" s="50">
        <f>J37+C48+C49</f>
        <v>2088079.6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85854</v>
      </c>
      <c r="C43" s="21">
        <v>27134</v>
      </c>
      <c r="D43" s="25">
        <v>25678</v>
      </c>
      <c r="E43" s="21">
        <v>25134</v>
      </c>
      <c r="F43" s="21">
        <v>7123</v>
      </c>
      <c r="G43" s="21">
        <v>274</v>
      </c>
      <c r="H43" s="21">
        <v>247</v>
      </c>
      <c r="I43" s="52">
        <v>264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81490</v>
      </c>
      <c r="C44" s="21">
        <v>26356</v>
      </c>
      <c r="D44" s="25">
        <v>23109</v>
      </c>
      <c r="E44" s="21">
        <v>24356</v>
      </c>
      <c r="F44" s="21">
        <v>6901</v>
      </c>
      <c r="G44" s="21">
        <v>269</v>
      </c>
      <c r="H44" s="21">
        <v>240</v>
      </c>
      <c r="I44" s="52">
        <v>259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76250</v>
      </c>
      <c r="C45" s="28">
        <v>25578</v>
      </c>
      <c r="D45" s="29">
        <v>19456</v>
      </c>
      <c r="E45" s="28">
        <v>23578</v>
      </c>
      <c r="F45" s="28">
        <v>6890</v>
      </c>
      <c r="G45" s="28">
        <v>257</v>
      </c>
      <c r="H45" s="28">
        <v>238</v>
      </c>
      <c r="I45" s="53">
        <v>253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90000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5700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5"/>
  <sheetViews>
    <sheetView topLeftCell="A7" zoomScale="60" zoomScaleNormal="60" workbookViewId="0">
      <selection activeCell="C49" sqref="C49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91</v>
      </c>
      <c r="C1" s="70"/>
      <c r="D1" s="70" t="s">
        <v>2</v>
      </c>
      <c r="E1" s="70" t="s">
        <v>92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52529</v>
      </c>
      <c r="H4" s="38">
        <f>F4*G4</f>
        <v>837837.55</v>
      </c>
      <c r="I4" s="45">
        <v>3</v>
      </c>
      <c r="J4" s="101">
        <f>E43</f>
        <v>2469</v>
      </c>
      <c r="K4" s="38">
        <f>I4*J4</f>
        <v>7407</v>
      </c>
      <c r="L4" s="45">
        <v>3</v>
      </c>
      <c r="M4" s="101">
        <f>F43</f>
        <v>712</v>
      </c>
      <c r="N4" s="38">
        <f>L4*M4</f>
        <v>2136</v>
      </c>
      <c r="O4" s="46">
        <v>3</v>
      </c>
      <c r="P4" s="101">
        <f>H43</f>
        <v>244</v>
      </c>
      <c r="Q4" s="38">
        <f>O4*P4</f>
        <v>732</v>
      </c>
      <c r="R4" s="46">
        <v>3</v>
      </c>
      <c r="S4" s="101">
        <f>I43</f>
        <v>257</v>
      </c>
      <c r="T4" s="38">
        <f>R4*S4</f>
        <v>771</v>
      </c>
      <c r="U4" s="46">
        <v>0</v>
      </c>
      <c r="V4" s="101">
        <f>SUM(G43:I43)</f>
        <v>768</v>
      </c>
      <c r="W4" s="38">
        <v>0</v>
      </c>
      <c r="X4" s="62">
        <f t="shared" ref="X4:X7" si="0">T4+Q4+N4+K4+H4</f>
        <v>848883.55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105058</v>
      </c>
      <c r="I5" s="45">
        <v>2</v>
      </c>
      <c r="J5" s="102"/>
      <c r="K5" s="38">
        <f>I5*J4</f>
        <v>4938</v>
      </c>
      <c r="L5" s="45">
        <v>2</v>
      </c>
      <c r="M5" s="102"/>
      <c r="N5" s="38">
        <f>L5*M4</f>
        <v>1424</v>
      </c>
      <c r="O5" s="40">
        <v>2</v>
      </c>
      <c r="P5" s="102"/>
      <c r="Q5" s="38">
        <f>O5*P4</f>
        <v>488</v>
      </c>
      <c r="R5" s="40">
        <v>2</v>
      </c>
      <c r="S5" s="102"/>
      <c r="T5" s="38">
        <f>R5*S4</f>
        <v>514</v>
      </c>
      <c r="U5" s="40">
        <v>0</v>
      </c>
      <c r="V5" s="102"/>
      <c r="W5" s="38">
        <v>0</v>
      </c>
      <c r="X5" s="62">
        <f t="shared" si="0"/>
        <v>112422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525290</v>
      </c>
      <c r="I7" s="45">
        <v>5</v>
      </c>
      <c r="J7" s="102"/>
      <c r="K7" s="38">
        <f>I7*J4</f>
        <v>12345</v>
      </c>
      <c r="L7" s="45">
        <v>14</v>
      </c>
      <c r="M7" s="102"/>
      <c r="N7" s="38">
        <f>L7*M4</f>
        <v>9968</v>
      </c>
      <c r="O7" s="40">
        <v>5</v>
      </c>
      <c r="P7" s="102"/>
      <c r="Q7" s="38">
        <f>O7*P4</f>
        <v>1220</v>
      </c>
      <c r="R7" s="40">
        <v>14</v>
      </c>
      <c r="S7" s="102"/>
      <c r="T7" s="38">
        <f>R7*S4</f>
        <v>3598</v>
      </c>
      <c r="U7" s="40">
        <v>0</v>
      </c>
      <c r="V7" s="102"/>
      <c r="W7" s="38">
        <v>0</v>
      </c>
      <c r="X7" s="62">
        <f t="shared" si="0"/>
        <v>552421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105058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14592</v>
      </c>
      <c r="X8" s="62">
        <f>T8+Q8+N8+K8+H8+W8</f>
        <v>119650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81419.95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81419.95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1654663.5</v>
      </c>
      <c r="I10" s="41">
        <f t="shared" si="2"/>
        <v>10</v>
      </c>
      <c r="J10" s="103"/>
      <c r="K10" s="41">
        <f t="shared" si="2"/>
        <v>24690</v>
      </c>
      <c r="L10" s="41">
        <f t="shared" si="2"/>
        <v>19</v>
      </c>
      <c r="M10" s="103"/>
      <c r="N10" s="41">
        <f t="shared" ref="N10:R10" si="3">SUM(N4:N9)</f>
        <v>13528</v>
      </c>
      <c r="O10" s="41">
        <f t="shared" si="3"/>
        <v>10</v>
      </c>
      <c r="P10" s="103"/>
      <c r="Q10" s="41">
        <f t="shared" si="3"/>
        <v>2440</v>
      </c>
      <c r="R10" s="41">
        <f t="shared" si="3"/>
        <v>19</v>
      </c>
      <c r="S10" s="103"/>
      <c r="T10" s="41">
        <f t="shared" ref="T10:W10" si="4">SUM(T4:T9)</f>
        <v>4883</v>
      </c>
      <c r="U10" s="41">
        <f t="shared" si="4"/>
        <v>19</v>
      </c>
      <c r="V10" s="103"/>
      <c r="W10" s="41">
        <f t="shared" si="4"/>
        <v>14592</v>
      </c>
      <c r="X10" s="63">
        <f>T10+Q10+N10+K10+H10+W10</f>
        <v>1714796.5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50523</v>
      </c>
      <c r="H12" s="38">
        <f>F12*G12</f>
        <v>805841.85</v>
      </c>
      <c r="I12" s="46">
        <v>3</v>
      </c>
      <c r="J12" s="101">
        <f>E44</f>
        <v>2391</v>
      </c>
      <c r="K12" s="38">
        <f>I12*J12</f>
        <v>7173</v>
      </c>
      <c r="L12" s="46">
        <v>3</v>
      </c>
      <c r="M12" s="101">
        <f>F44</f>
        <v>690</v>
      </c>
      <c r="N12" s="38">
        <f>L12*M12</f>
        <v>2070</v>
      </c>
      <c r="O12" s="46">
        <v>3</v>
      </c>
      <c r="P12" s="101">
        <f>H44</f>
        <v>237</v>
      </c>
      <c r="Q12" s="38">
        <f>O12*P12</f>
        <v>711</v>
      </c>
      <c r="R12" s="46">
        <v>3</v>
      </c>
      <c r="S12" s="101">
        <f>I44</f>
        <v>252</v>
      </c>
      <c r="T12" s="38">
        <f>R12*S12</f>
        <v>756</v>
      </c>
      <c r="U12" s="46">
        <v>0</v>
      </c>
      <c r="V12" s="101">
        <f>SUM(G44:I44)</f>
        <v>751</v>
      </c>
      <c r="W12" s="38">
        <v>0</v>
      </c>
      <c r="X12" s="62">
        <f t="shared" si="1"/>
        <v>816551.85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101046</v>
      </c>
      <c r="I13" s="40">
        <v>2</v>
      </c>
      <c r="J13" s="102"/>
      <c r="K13" s="38">
        <f>I13*J12</f>
        <v>4782</v>
      </c>
      <c r="L13" s="40">
        <v>2</v>
      </c>
      <c r="M13" s="102"/>
      <c r="N13" s="38">
        <f>L13*M12</f>
        <v>1380</v>
      </c>
      <c r="O13" s="40">
        <v>2</v>
      </c>
      <c r="P13" s="102"/>
      <c r="Q13" s="38">
        <f>O13*P12</f>
        <v>474</v>
      </c>
      <c r="R13" s="40">
        <v>2</v>
      </c>
      <c r="S13" s="102"/>
      <c r="T13" s="38">
        <f>R13*S12</f>
        <v>504</v>
      </c>
      <c r="U13" s="40">
        <v>0</v>
      </c>
      <c r="V13" s="102"/>
      <c r="W13" s="38">
        <v>0</v>
      </c>
      <c r="X13" s="62">
        <f t="shared" si="1"/>
        <v>108186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505230</v>
      </c>
      <c r="I15" s="40">
        <v>5</v>
      </c>
      <c r="J15" s="102"/>
      <c r="K15" s="38">
        <f>I15*J12</f>
        <v>11955</v>
      </c>
      <c r="L15" s="40">
        <v>14</v>
      </c>
      <c r="M15" s="102"/>
      <c r="N15" s="38">
        <f>L15*M12</f>
        <v>9660</v>
      </c>
      <c r="O15" s="40">
        <v>5</v>
      </c>
      <c r="P15" s="102"/>
      <c r="Q15" s="38">
        <f>O15*P12</f>
        <v>1185</v>
      </c>
      <c r="R15" s="40">
        <v>14</v>
      </c>
      <c r="S15" s="102"/>
      <c r="T15" s="38">
        <f>R15*S12</f>
        <v>3528</v>
      </c>
      <c r="U15" s="40">
        <v>0</v>
      </c>
      <c r="V15" s="102"/>
      <c r="W15" s="38">
        <v>0</v>
      </c>
      <c r="X15" s="62">
        <f t="shared" si="1"/>
        <v>531558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101046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14269</v>
      </c>
      <c r="X16" s="62">
        <f>T16+Q16+N16+K16+H16+W16</f>
        <v>115315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78310.649999999994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78310.649999999994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1591474.5</v>
      </c>
      <c r="I18" s="41">
        <f t="shared" si="6"/>
        <v>10</v>
      </c>
      <c r="J18" s="103"/>
      <c r="K18" s="41">
        <f t="shared" si="6"/>
        <v>23910</v>
      </c>
      <c r="L18" s="41">
        <f t="shared" si="6"/>
        <v>19</v>
      </c>
      <c r="M18" s="103"/>
      <c r="N18" s="41">
        <f t="shared" ref="N18:R18" si="7">SUM(N12:N17)</f>
        <v>13110</v>
      </c>
      <c r="O18" s="41">
        <f t="shared" si="7"/>
        <v>10</v>
      </c>
      <c r="P18" s="103"/>
      <c r="Q18" s="41">
        <f t="shared" si="7"/>
        <v>2370</v>
      </c>
      <c r="R18" s="41">
        <f t="shared" si="7"/>
        <v>19</v>
      </c>
      <c r="S18" s="103"/>
      <c r="T18" s="41">
        <f t="shared" ref="T18:W18" si="8">SUM(T12:T17)</f>
        <v>4788</v>
      </c>
      <c r="U18" s="41">
        <f t="shared" si="8"/>
        <v>19</v>
      </c>
      <c r="V18" s="103"/>
      <c r="W18" s="41">
        <f t="shared" si="8"/>
        <v>14269</v>
      </c>
      <c r="X18" s="63">
        <f>T18+Q18+N18+K18+H18+W18</f>
        <v>1649921.5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50272</v>
      </c>
      <c r="H20" s="38">
        <f>F20*G20</f>
        <v>801838.4</v>
      </c>
      <c r="I20" s="46">
        <v>3</v>
      </c>
      <c r="J20" s="101">
        <f>E45</f>
        <v>2315</v>
      </c>
      <c r="K20" s="38">
        <f>I20*J20</f>
        <v>6945</v>
      </c>
      <c r="L20" s="46">
        <v>3</v>
      </c>
      <c r="M20" s="101">
        <f>F45</f>
        <v>667</v>
      </c>
      <c r="N20" s="38">
        <f>L20*M20</f>
        <v>2001</v>
      </c>
      <c r="O20" s="46">
        <v>3</v>
      </c>
      <c r="P20" s="101">
        <f>H45</f>
        <v>230</v>
      </c>
      <c r="Q20" s="38">
        <f>O20*P20</f>
        <v>690</v>
      </c>
      <c r="R20" s="46">
        <v>3</v>
      </c>
      <c r="S20" s="101">
        <f>I45</f>
        <v>247</v>
      </c>
      <c r="T20" s="38">
        <f>R20*S20</f>
        <v>741</v>
      </c>
      <c r="U20" s="46">
        <v>0</v>
      </c>
      <c r="V20" s="101">
        <f>SUM((G45:I45))</f>
        <v>734</v>
      </c>
      <c r="W20" s="38">
        <v>0</v>
      </c>
      <c r="X20" s="62">
        <f t="shared" si="5"/>
        <v>812215.4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100544</v>
      </c>
      <c r="I21" s="40">
        <v>2</v>
      </c>
      <c r="J21" s="102"/>
      <c r="K21" s="38">
        <f>I21*J20</f>
        <v>4630</v>
      </c>
      <c r="L21" s="40">
        <v>2</v>
      </c>
      <c r="M21" s="102"/>
      <c r="N21" s="38">
        <f>L21*M20</f>
        <v>1334</v>
      </c>
      <c r="O21" s="40">
        <v>2</v>
      </c>
      <c r="P21" s="102"/>
      <c r="Q21" s="38">
        <f>O21*P20</f>
        <v>460</v>
      </c>
      <c r="R21" s="40">
        <v>2</v>
      </c>
      <c r="S21" s="102"/>
      <c r="T21" s="38">
        <f>R21*S20</f>
        <v>494</v>
      </c>
      <c r="U21" s="40">
        <v>0</v>
      </c>
      <c r="V21" s="102"/>
      <c r="W21" s="38">
        <v>0</v>
      </c>
      <c r="X21" s="62">
        <f t="shared" si="5"/>
        <v>107462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502720</v>
      </c>
      <c r="I23" s="40">
        <v>5</v>
      </c>
      <c r="J23" s="102"/>
      <c r="K23" s="38">
        <f>I23*J20</f>
        <v>11575</v>
      </c>
      <c r="L23" s="40">
        <v>14</v>
      </c>
      <c r="M23" s="102"/>
      <c r="N23" s="38">
        <f>L23*M20</f>
        <v>9338</v>
      </c>
      <c r="O23" s="40">
        <v>5</v>
      </c>
      <c r="P23" s="102"/>
      <c r="Q23" s="38">
        <f>O23*P20</f>
        <v>1150</v>
      </c>
      <c r="R23" s="40">
        <v>14</v>
      </c>
      <c r="S23" s="102"/>
      <c r="T23" s="38">
        <f>R23*S20</f>
        <v>3458</v>
      </c>
      <c r="U23" s="40">
        <v>0</v>
      </c>
      <c r="V23" s="102"/>
      <c r="W23" s="38">
        <v>0</v>
      </c>
      <c r="X23" s="62">
        <f t="shared" si="5"/>
        <v>528241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100544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13946</v>
      </c>
      <c r="X24" s="62">
        <f>T24+Q24+N24+K24+H24+W24</f>
        <v>114490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77921.600000000006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77921.600000000006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1583568</v>
      </c>
      <c r="I26" s="43">
        <f t="shared" si="9"/>
        <v>10</v>
      </c>
      <c r="J26" s="104"/>
      <c r="K26" s="43">
        <f t="shared" si="9"/>
        <v>23150</v>
      </c>
      <c r="L26" s="43">
        <f t="shared" si="9"/>
        <v>19</v>
      </c>
      <c r="M26" s="104"/>
      <c r="N26" s="43">
        <f t="shared" ref="N26:R26" si="10">SUM(N20:N25)</f>
        <v>12673</v>
      </c>
      <c r="O26" s="43">
        <f t="shared" si="10"/>
        <v>10</v>
      </c>
      <c r="P26" s="104"/>
      <c r="Q26" s="43">
        <f t="shared" si="10"/>
        <v>2300</v>
      </c>
      <c r="R26" s="43">
        <f t="shared" si="10"/>
        <v>19</v>
      </c>
      <c r="S26" s="104"/>
      <c r="T26" s="43">
        <f t="shared" ref="T26:W26" si="11">SUM(T20:T25)</f>
        <v>4693</v>
      </c>
      <c r="U26" s="43">
        <f t="shared" si="11"/>
        <v>19</v>
      </c>
      <c r="V26" s="104"/>
      <c r="W26" s="43">
        <f t="shared" si="11"/>
        <v>13946</v>
      </c>
      <c r="X26" s="65">
        <f>T26+Q26+N26+K26+H26+W26</f>
        <v>1640330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354321.09</v>
      </c>
      <c r="E31" s="22">
        <f t="shared" ref="E31:E34" si="12">X4</f>
        <v>848883.55</v>
      </c>
      <c r="F31" s="22">
        <f t="shared" ref="F31:F34" si="13">E31-D31</f>
        <v>494562.46</v>
      </c>
      <c r="G31" s="22">
        <f t="shared" ref="G31:G34" si="14">X12</f>
        <v>816551.85</v>
      </c>
      <c r="H31" s="22">
        <f t="shared" ref="H31:H34" si="15">G31-D31</f>
        <v>462230.76</v>
      </c>
      <c r="I31" s="22">
        <f t="shared" ref="I31:I34" si="16">X20</f>
        <v>812215.4</v>
      </c>
      <c r="J31" s="50">
        <f t="shared" ref="J31:J34" si="17">I31-D31</f>
        <v>457894.31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69432.100000000006</v>
      </c>
      <c r="E32" s="22">
        <f t="shared" si="12"/>
        <v>112422</v>
      </c>
      <c r="F32" s="22">
        <f t="shared" si="13"/>
        <v>42989.9</v>
      </c>
      <c r="G32" s="22">
        <f t="shared" si="14"/>
        <v>108186</v>
      </c>
      <c r="H32" s="22">
        <f t="shared" si="15"/>
        <v>38753.9</v>
      </c>
      <c r="I32" s="22">
        <f t="shared" si="16"/>
        <v>107462</v>
      </c>
      <c r="J32" s="50">
        <f t="shared" si="17"/>
        <v>38029.9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318901.74</v>
      </c>
      <c r="E33" s="22">
        <f>X7+X8</f>
        <v>672071</v>
      </c>
      <c r="F33" s="22">
        <f t="shared" si="13"/>
        <v>353169.26</v>
      </c>
      <c r="G33" s="22">
        <f>X15+X16</f>
        <v>646873</v>
      </c>
      <c r="H33" s="22">
        <f t="shared" si="15"/>
        <v>327971.26</v>
      </c>
      <c r="I33" s="22">
        <f>X23+X24</f>
        <v>642731</v>
      </c>
      <c r="J33" s="50">
        <f t="shared" si="17"/>
        <v>323829.26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295378.52</v>
      </c>
      <c r="E34" s="22">
        <f t="shared" si="12"/>
        <v>552421</v>
      </c>
      <c r="F34" s="22">
        <f t="shared" si="13"/>
        <v>257042.48</v>
      </c>
      <c r="G34" s="22">
        <f t="shared" si="14"/>
        <v>531558</v>
      </c>
      <c r="H34" s="22">
        <f t="shared" si="15"/>
        <v>236179.48</v>
      </c>
      <c r="I34" s="22">
        <f t="shared" si="16"/>
        <v>528241</v>
      </c>
      <c r="J34" s="50">
        <f t="shared" si="17"/>
        <v>232862.48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23523.22</v>
      </c>
      <c r="E35" s="22">
        <f t="shared" si="18"/>
        <v>119650</v>
      </c>
      <c r="F35" s="22">
        <f t="shared" si="18"/>
        <v>96126.78</v>
      </c>
      <c r="G35" s="22">
        <f t="shared" si="18"/>
        <v>115315</v>
      </c>
      <c r="H35" s="22">
        <f t="shared" si="18"/>
        <v>91791.78</v>
      </c>
      <c r="I35" s="22">
        <f t="shared" si="18"/>
        <v>114490</v>
      </c>
      <c r="J35" s="50">
        <f t="shared" si="18"/>
        <v>90966.78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22141.21</v>
      </c>
      <c r="E36" s="22">
        <f>X9</f>
        <v>81419.95</v>
      </c>
      <c r="F36" s="22">
        <f>E36-D36</f>
        <v>59278.74</v>
      </c>
      <c r="G36" s="22">
        <f>X17</f>
        <v>78310.649999999994</v>
      </c>
      <c r="H36" s="22">
        <f>G36-D36</f>
        <v>56169.440000000002</v>
      </c>
      <c r="I36" s="22">
        <f>X25</f>
        <v>77921.600000000006</v>
      </c>
      <c r="J36" s="50">
        <f>I36-D36</f>
        <v>55780.39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764796.14</v>
      </c>
      <c r="E37" s="22">
        <f>X10</f>
        <v>1714796.5</v>
      </c>
      <c r="F37" s="22">
        <f>E37-D37</f>
        <v>950000.36</v>
      </c>
      <c r="G37" s="22">
        <f>X18</f>
        <v>1649921.5</v>
      </c>
      <c r="H37" s="22">
        <f>G37-D37</f>
        <v>885125.36</v>
      </c>
      <c r="I37" s="22">
        <f>X26</f>
        <v>1640330</v>
      </c>
      <c r="J37" s="50">
        <f>I37-D37</f>
        <v>875533.86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1085700.3600000001</v>
      </c>
      <c r="G38" s="18"/>
      <c r="H38" s="22">
        <f>H37+C48+C49</f>
        <v>1020825.36</v>
      </c>
      <c r="I38" s="18"/>
      <c r="J38" s="50">
        <f>J37+C48+C49</f>
        <v>1011233.86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52529</v>
      </c>
      <c r="C43" s="21">
        <v>26791</v>
      </c>
      <c r="D43" s="25">
        <v>21789</v>
      </c>
      <c r="E43" s="21">
        <v>2469</v>
      </c>
      <c r="F43" s="21">
        <v>712</v>
      </c>
      <c r="G43" s="21">
        <v>267</v>
      </c>
      <c r="H43" s="21">
        <v>244</v>
      </c>
      <c r="I43" s="52">
        <v>257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50523</v>
      </c>
      <c r="C44" s="21">
        <v>26013</v>
      </c>
      <c r="D44" s="25">
        <v>20678</v>
      </c>
      <c r="E44" s="21">
        <v>2391</v>
      </c>
      <c r="F44" s="21">
        <v>690</v>
      </c>
      <c r="G44" s="21">
        <v>262</v>
      </c>
      <c r="H44" s="21">
        <v>237</v>
      </c>
      <c r="I44" s="52">
        <v>252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50272</v>
      </c>
      <c r="C45" s="28">
        <v>25235</v>
      </c>
      <c r="D45" s="29">
        <v>21321</v>
      </c>
      <c r="E45" s="28">
        <v>2315</v>
      </c>
      <c r="F45" s="28">
        <v>667</v>
      </c>
      <c r="G45" s="28">
        <v>257</v>
      </c>
      <c r="H45" s="28">
        <v>230</v>
      </c>
      <c r="I45" s="53">
        <v>247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90000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45700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55"/>
  <sheetViews>
    <sheetView zoomScale="60" zoomScaleNormal="60" workbookViewId="0">
      <selection activeCell="F49" sqref="F49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93</v>
      </c>
      <c r="C1" s="70"/>
      <c r="D1" s="70" t="s">
        <v>2</v>
      </c>
      <c r="E1" s="70" t="s">
        <v>94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61284</v>
      </c>
      <c r="H4" s="38">
        <f>F4*G4</f>
        <v>977479.8</v>
      </c>
      <c r="I4" s="45">
        <v>3</v>
      </c>
      <c r="J4" s="101">
        <f>E43</f>
        <v>2923</v>
      </c>
      <c r="K4" s="38">
        <f>I4*J4</f>
        <v>8769</v>
      </c>
      <c r="L4" s="45">
        <v>3</v>
      </c>
      <c r="M4" s="101">
        <f>F43</f>
        <v>734</v>
      </c>
      <c r="N4" s="38">
        <f>L4*M4</f>
        <v>2202</v>
      </c>
      <c r="O4" s="46">
        <v>3</v>
      </c>
      <c r="P4" s="101">
        <f>H43</f>
        <v>255</v>
      </c>
      <c r="Q4" s="38">
        <f>O4*P4</f>
        <v>765</v>
      </c>
      <c r="R4" s="46">
        <v>3</v>
      </c>
      <c r="S4" s="101">
        <f>I43</f>
        <v>269</v>
      </c>
      <c r="T4" s="38">
        <f>R4*S4</f>
        <v>807</v>
      </c>
      <c r="U4" s="46">
        <v>0</v>
      </c>
      <c r="V4" s="101">
        <f>SUM(G43:I43)</f>
        <v>803</v>
      </c>
      <c r="W4" s="38">
        <v>0</v>
      </c>
      <c r="X4" s="62">
        <f t="shared" ref="X4:X7" si="0">T4+Q4+N4+K4+H4</f>
        <v>990022.8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122568</v>
      </c>
      <c r="I5" s="45">
        <v>2</v>
      </c>
      <c r="J5" s="102"/>
      <c r="K5" s="38">
        <f>I5*J4</f>
        <v>5846</v>
      </c>
      <c r="L5" s="45">
        <v>2</v>
      </c>
      <c r="M5" s="102"/>
      <c r="N5" s="38">
        <f>L5*M4</f>
        <v>1468</v>
      </c>
      <c r="O5" s="40">
        <v>2</v>
      </c>
      <c r="P5" s="102"/>
      <c r="Q5" s="38">
        <f>O5*P4</f>
        <v>510</v>
      </c>
      <c r="R5" s="40">
        <v>2</v>
      </c>
      <c r="S5" s="102"/>
      <c r="T5" s="38">
        <f>R5*S4</f>
        <v>538</v>
      </c>
      <c r="U5" s="40">
        <v>0</v>
      </c>
      <c r="V5" s="102"/>
      <c r="W5" s="38">
        <v>0</v>
      </c>
      <c r="X5" s="62">
        <f t="shared" si="0"/>
        <v>130930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612840</v>
      </c>
      <c r="I7" s="45">
        <v>5</v>
      </c>
      <c r="J7" s="102"/>
      <c r="K7" s="38">
        <f>I7*J4</f>
        <v>14615</v>
      </c>
      <c r="L7" s="45">
        <v>14</v>
      </c>
      <c r="M7" s="102"/>
      <c r="N7" s="38">
        <f>L7*M4</f>
        <v>10276</v>
      </c>
      <c r="O7" s="40">
        <v>5</v>
      </c>
      <c r="P7" s="102"/>
      <c r="Q7" s="38">
        <f>O7*P4</f>
        <v>1275</v>
      </c>
      <c r="R7" s="40">
        <v>14</v>
      </c>
      <c r="S7" s="102"/>
      <c r="T7" s="38">
        <f>R7*S4</f>
        <v>3766</v>
      </c>
      <c r="U7" s="40">
        <v>0</v>
      </c>
      <c r="V7" s="102"/>
      <c r="W7" s="38">
        <v>0</v>
      </c>
      <c r="X7" s="62">
        <f t="shared" si="0"/>
        <v>642772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122568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15257</v>
      </c>
      <c r="X8" s="62">
        <f>T8+Q8+N8+K8+H8+W8</f>
        <v>137825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94990.2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94990.2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1930446</v>
      </c>
      <c r="I10" s="41">
        <f t="shared" si="2"/>
        <v>10</v>
      </c>
      <c r="J10" s="103"/>
      <c r="K10" s="41">
        <f t="shared" si="2"/>
        <v>29230</v>
      </c>
      <c r="L10" s="41">
        <f t="shared" si="2"/>
        <v>19</v>
      </c>
      <c r="M10" s="103"/>
      <c r="N10" s="41">
        <f t="shared" ref="N10:R10" si="3">SUM(N4:N9)</f>
        <v>13946</v>
      </c>
      <c r="O10" s="41">
        <f t="shared" si="3"/>
        <v>10</v>
      </c>
      <c r="P10" s="103"/>
      <c r="Q10" s="41">
        <f t="shared" si="3"/>
        <v>2550</v>
      </c>
      <c r="R10" s="41">
        <f t="shared" si="3"/>
        <v>19</v>
      </c>
      <c r="S10" s="103"/>
      <c r="T10" s="41">
        <f t="shared" ref="T10:W10" si="4">SUM(T4:T9)</f>
        <v>5111</v>
      </c>
      <c r="U10" s="41">
        <f t="shared" si="4"/>
        <v>19</v>
      </c>
      <c r="V10" s="103"/>
      <c r="W10" s="41">
        <f t="shared" si="4"/>
        <v>15257</v>
      </c>
      <c r="X10" s="63">
        <f>T10+Q10+N10+K10+H10+W10</f>
        <v>1996540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53946</v>
      </c>
      <c r="H12" s="38">
        <f>F12*G12</f>
        <v>860438.7</v>
      </c>
      <c r="I12" s="46">
        <v>3</v>
      </c>
      <c r="J12" s="101">
        <f>E44</f>
        <v>2514</v>
      </c>
      <c r="K12" s="38">
        <f>I12*J12</f>
        <v>7542</v>
      </c>
      <c r="L12" s="46">
        <v>3</v>
      </c>
      <c r="M12" s="101">
        <f>F44</f>
        <v>712</v>
      </c>
      <c r="N12" s="38">
        <f>L12*M12</f>
        <v>2136</v>
      </c>
      <c r="O12" s="46">
        <v>3</v>
      </c>
      <c r="P12" s="101">
        <f>H44</f>
        <v>248</v>
      </c>
      <c r="Q12" s="38">
        <f>O12*P12</f>
        <v>744</v>
      </c>
      <c r="R12" s="46">
        <v>3</v>
      </c>
      <c r="S12" s="101">
        <f>I44</f>
        <v>264</v>
      </c>
      <c r="T12" s="38">
        <f>R12*S12</f>
        <v>792</v>
      </c>
      <c r="U12" s="46">
        <v>0</v>
      </c>
      <c r="V12" s="101">
        <f>SUM(G44:I44)</f>
        <v>786</v>
      </c>
      <c r="W12" s="38">
        <v>0</v>
      </c>
      <c r="X12" s="62">
        <f t="shared" si="1"/>
        <v>871652.7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107892</v>
      </c>
      <c r="I13" s="40">
        <v>2</v>
      </c>
      <c r="J13" s="102"/>
      <c r="K13" s="38">
        <f>I13*J12</f>
        <v>5028</v>
      </c>
      <c r="L13" s="40">
        <v>2</v>
      </c>
      <c r="M13" s="102"/>
      <c r="N13" s="38">
        <f>L13*M12</f>
        <v>1424</v>
      </c>
      <c r="O13" s="40">
        <v>2</v>
      </c>
      <c r="P13" s="102"/>
      <c r="Q13" s="38">
        <f>O13*P12</f>
        <v>496</v>
      </c>
      <c r="R13" s="40">
        <v>2</v>
      </c>
      <c r="S13" s="102"/>
      <c r="T13" s="38">
        <f>R13*S12</f>
        <v>528</v>
      </c>
      <c r="U13" s="40">
        <v>0</v>
      </c>
      <c r="V13" s="102"/>
      <c r="W13" s="38">
        <v>0</v>
      </c>
      <c r="X13" s="62">
        <f t="shared" si="1"/>
        <v>115368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539460</v>
      </c>
      <c r="I15" s="40">
        <v>5</v>
      </c>
      <c r="J15" s="102"/>
      <c r="K15" s="38">
        <f>I15*J12</f>
        <v>12570</v>
      </c>
      <c r="L15" s="40">
        <v>14</v>
      </c>
      <c r="M15" s="102"/>
      <c r="N15" s="38">
        <f>L15*M12</f>
        <v>9968</v>
      </c>
      <c r="O15" s="40">
        <v>5</v>
      </c>
      <c r="P15" s="102"/>
      <c r="Q15" s="38">
        <f>O15*P12</f>
        <v>1240</v>
      </c>
      <c r="R15" s="40">
        <v>14</v>
      </c>
      <c r="S15" s="102"/>
      <c r="T15" s="38">
        <f>R15*S12</f>
        <v>3696</v>
      </c>
      <c r="U15" s="40">
        <v>0</v>
      </c>
      <c r="V15" s="102"/>
      <c r="W15" s="38">
        <v>0</v>
      </c>
      <c r="X15" s="62">
        <f t="shared" si="1"/>
        <v>566934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107892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14934</v>
      </c>
      <c r="X16" s="62">
        <f>T16+Q16+N16+K16+H16+W16</f>
        <v>122826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83616.3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83616.3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1699299</v>
      </c>
      <c r="I18" s="41">
        <f t="shared" si="6"/>
        <v>10</v>
      </c>
      <c r="J18" s="103"/>
      <c r="K18" s="41">
        <f t="shared" si="6"/>
        <v>25140</v>
      </c>
      <c r="L18" s="41">
        <f t="shared" si="6"/>
        <v>19</v>
      </c>
      <c r="M18" s="103"/>
      <c r="N18" s="41">
        <f t="shared" ref="N18:R18" si="7">SUM(N12:N17)</f>
        <v>13528</v>
      </c>
      <c r="O18" s="41">
        <f t="shared" si="7"/>
        <v>10</v>
      </c>
      <c r="P18" s="103"/>
      <c r="Q18" s="41">
        <f t="shared" si="7"/>
        <v>2480</v>
      </c>
      <c r="R18" s="41">
        <f t="shared" si="7"/>
        <v>19</v>
      </c>
      <c r="S18" s="103"/>
      <c r="T18" s="41">
        <f t="shared" ref="T18:W18" si="8">SUM(T12:T17)</f>
        <v>5016</v>
      </c>
      <c r="U18" s="41">
        <f t="shared" si="8"/>
        <v>19</v>
      </c>
      <c r="V18" s="103"/>
      <c r="W18" s="41">
        <f t="shared" si="8"/>
        <v>14934</v>
      </c>
      <c r="X18" s="63">
        <f>T18+Q18+N18+K18+H18+W18</f>
        <v>1760397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53625</v>
      </c>
      <c r="H20" s="38">
        <f>F20*G20</f>
        <v>855318.75</v>
      </c>
      <c r="I20" s="46">
        <v>3</v>
      </c>
      <c r="J20" s="101">
        <f>E45</f>
        <v>2367</v>
      </c>
      <c r="K20" s="38">
        <f>I20*J20</f>
        <v>7101</v>
      </c>
      <c r="L20" s="46">
        <v>3</v>
      </c>
      <c r="M20" s="101">
        <f>F45</f>
        <v>690</v>
      </c>
      <c r="N20" s="38">
        <f>L20*M20</f>
        <v>2070</v>
      </c>
      <c r="O20" s="46">
        <v>3</v>
      </c>
      <c r="P20" s="101">
        <f>H45</f>
        <v>241</v>
      </c>
      <c r="Q20" s="38">
        <f>O20*P20</f>
        <v>723</v>
      </c>
      <c r="R20" s="46">
        <v>3</v>
      </c>
      <c r="S20" s="101">
        <f>I45</f>
        <v>259</v>
      </c>
      <c r="T20" s="38">
        <f>R20*S20</f>
        <v>777</v>
      </c>
      <c r="U20" s="46">
        <v>0</v>
      </c>
      <c r="V20" s="101">
        <f>SUM((G45:I45))</f>
        <v>769</v>
      </c>
      <c r="W20" s="38">
        <v>0</v>
      </c>
      <c r="X20" s="62">
        <f t="shared" si="5"/>
        <v>865989.75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107250</v>
      </c>
      <c r="I21" s="40">
        <v>2</v>
      </c>
      <c r="J21" s="102"/>
      <c r="K21" s="38">
        <f>I21*J20</f>
        <v>4734</v>
      </c>
      <c r="L21" s="40">
        <v>2</v>
      </c>
      <c r="M21" s="102"/>
      <c r="N21" s="38">
        <f>L21*M20</f>
        <v>1380</v>
      </c>
      <c r="O21" s="40">
        <v>2</v>
      </c>
      <c r="P21" s="102"/>
      <c r="Q21" s="38">
        <f>O21*P20</f>
        <v>482</v>
      </c>
      <c r="R21" s="40">
        <v>2</v>
      </c>
      <c r="S21" s="102"/>
      <c r="T21" s="38">
        <f>R21*S20</f>
        <v>518</v>
      </c>
      <c r="U21" s="40">
        <v>0</v>
      </c>
      <c r="V21" s="102"/>
      <c r="W21" s="38">
        <v>0</v>
      </c>
      <c r="X21" s="62">
        <f t="shared" si="5"/>
        <v>114364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536250</v>
      </c>
      <c r="I23" s="40">
        <v>5</v>
      </c>
      <c r="J23" s="102"/>
      <c r="K23" s="38">
        <f>I23*J20</f>
        <v>11835</v>
      </c>
      <c r="L23" s="40">
        <v>14</v>
      </c>
      <c r="M23" s="102"/>
      <c r="N23" s="38">
        <f>L23*M20</f>
        <v>9660</v>
      </c>
      <c r="O23" s="40">
        <v>5</v>
      </c>
      <c r="P23" s="102"/>
      <c r="Q23" s="38">
        <f>O23*P20</f>
        <v>1205</v>
      </c>
      <c r="R23" s="40">
        <v>14</v>
      </c>
      <c r="S23" s="102"/>
      <c r="T23" s="38">
        <f>R23*S20</f>
        <v>3626</v>
      </c>
      <c r="U23" s="40">
        <v>0</v>
      </c>
      <c r="V23" s="102"/>
      <c r="W23" s="38">
        <v>0</v>
      </c>
      <c r="X23" s="62">
        <f t="shared" si="5"/>
        <v>562576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107250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14611</v>
      </c>
      <c r="X24" s="62">
        <f>T24+Q24+N24+K24+H24+W24</f>
        <v>121861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83118.75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83118.75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1689187.5</v>
      </c>
      <c r="I26" s="43">
        <f t="shared" si="9"/>
        <v>10</v>
      </c>
      <c r="J26" s="104"/>
      <c r="K26" s="43">
        <f t="shared" si="9"/>
        <v>23670</v>
      </c>
      <c r="L26" s="43">
        <f t="shared" si="9"/>
        <v>19</v>
      </c>
      <c r="M26" s="104"/>
      <c r="N26" s="43">
        <f t="shared" ref="N26:R26" si="10">SUM(N20:N25)</f>
        <v>13110</v>
      </c>
      <c r="O26" s="43">
        <f t="shared" si="10"/>
        <v>10</v>
      </c>
      <c r="P26" s="104"/>
      <c r="Q26" s="43">
        <f t="shared" si="10"/>
        <v>2410</v>
      </c>
      <c r="R26" s="43">
        <f t="shared" si="10"/>
        <v>19</v>
      </c>
      <c r="S26" s="104"/>
      <c r="T26" s="43">
        <f t="shared" ref="T26:W26" si="11">SUM(T20:T25)</f>
        <v>4921</v>
      </c>
      <c r="U26" s="43">
        <f t="shared" si="11"/>
        <v>19</v>
      </c>
      <c r="V26" s="104"/>
      <c r="W26" s="43">
        <f t="shared" si="11"/>
        <v>14611</v>
      </c>
      <c r="X26" s="65">
        <f>T26+Q26+N26+K26+H26+W26</f>
        <v>1747909.5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374567.89</v>
      </c>
      <c r="E31" s="22">
        <f t="shared" ref="E31:E34" si="12">X4</f>
        <v>990022.8</v>
      </c>
      <c r="F31" s="22">
        <f t="shared" ref="F31:F34" si="13">E31-D31</f>
        <v>615454.91</v>
      </c>
      <c r="G31" s="22">
        <f t="shared" ref="G31:G34" si="14">X12</f>
        <v>871652.7</v>
      </c>
      <c r="H31" s="22">
        <f t="shared" ref="H31:H34" si="15">G31-D31</f>
        <v>497084.81</v>
      </c>
      <c r="I31" s="22">
        <f t="shared" ref="I31:I34" si="16">X20</f>
        <v>865989.75</v>
      </c>
      <c r="J31" s="50">
        <f t="shared" ref="J31:J34" si="17">I31-D31</f>
        <v>491421.86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74567.89</v>
      </c>
      <c r="E32" s="22">
        <f t="shared" si="12"/>
        <v>130930</v>
      </c>
      <c r="F32" s="22">
        <f t="shared" si="13"/>
        <v>56362.11</v>
      </c>
      <c r="G32" s="22">
        <f t="shared" si="14"/>
        <v>115368</v>
      </c>
      <c r="H32" s="22">
        <f t="shared" si="15"/>
        <v>40800.11</v>
      </c>
      <c r="I32" s="22">
        <f t="shared" si="16"/>
        <v>114364</v>
      </c>
      <c r="J32" s="50">
        <f t="shared" si="17"/>
        <v>39796.11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336789.01</v>
      </c>
      <c r="E33" s="22">
        <f>X7+X8</f>
        <v>780597</v>
      </c>
      <c r="F33" s="22">
        <f t="shared" si="13"/>
        <v>443807.99</v>
      </c>
      <c r="G33" s="22">
        <f>X15+X16</f>
        <v>689760</v>
      </c>
      <c r="H33" s="22">
        <f t="shared" si="15"/>
        <v>352970.99</v>
      </c>
      <c r="I33" s="22">
        <f>X23+X24</f>
        <v>684437</v>
      </c>
      <c r="J33" s="50">
        <f t="shared" si="17"/>
        <v>347647.99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311230.15999999997</v>
      </c>
      <c r="E34" s="22">
        <f t="shared" si="12"/>
        <v>642772</v>
      </c>
      <c r="F34" s="22">
        <f t="shared" si="13"/>
        <v>331541.84000000003</v>
      </c>
      <c r="G34" s="22">
        <f t="shared" si="14"/>
        <v>566934</v>
      </c>
      <c r="H34" s="22">
        <f t="shared" si="15"/>
        <v>255703.84</v>
      </c>
      <c r="I34" s="22">
        <f t="shared" si="16"/>
        <v>562576</v>
      </c>
      <c r="J34" s="50">
        <f t="shared" si="17"/>
        <v>251345.84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25558.85</v>
      </c>
      <c r="E35" s="22">
        <f t="shared" si="18"/>
        <v>137825</v>
      </c>
      <c r="F35" s="22">
        <f t="shared" si="18"/>
        <v>112266.15</v>
      </c>
      <c r="G35" s="22">
        <f t="shared" si="18"/>
        <v>122826</v>
      </c>
      <c r="H35" s="22">
        <f t="shared" si="18"/>
        <v>97267.15</v>
      </c>
      <c r="I35" s="22">
        <f t="shared" si="18"/>
        <v>121861</v>
      </c>
      <c r="J35" s="50">
        <f t="shared" si="18"/>
        <v>96302.15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122141.21</v>
      </c>
      <c r="E36" s="22">
        <f>X9</f>
        <v>94990.2</v>
      </c>
      <c r="F36" s="22">
        <f>E36-D36</f>
        <v>-27151.01</v>
      </c>
      <c r="G36" s="22">
        <f>X17</f>
        <v>83616.3</v>
      </c>
      <c r="H36" s="22">
        <f>G36-D36</f>
        <v>-38524.910000000003</v>
      </c>
      <c r="I36" s="22">
        <f>X25</f>
        <v>83118.75</v>
      </c>
      <c r="J36" s="50">
        <f>I36-D36</f>
        <v>-39022.46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908066</v>
      </c>
      <c r="E37" s="22">
        <f>X10</f>
        <v>1996540</v>
      </c>
      <c r="F37" s="22">
        <f>E37-D37</f>
        <v>1088474</v>
      </c>
      <c r="G37" s="22">
        <f>X18</f>
        <v>1760397</v>
      </c>
      <c r="H37" s="22">
        <f>G37-D37</f>
        <v>852331</v>
      </c>
      <c r="I37" s="22">
        <f>X26</f>
        <v>1747909.5</v>
      </c>
      <c r="J37" s="50">
        <f>I37-D37</f>
        <v>839843.5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1116944</v>
      </c>
      <c r="G38" s="18"/>
      <c r="H38" s="22">
        <f>H37+C48+C49</f>
        <v>880801</v>
      </c>
      <c r="I38" s="18"/>
      <c r="J38" s="50">
        <f>J37+C48+C49</f>
        <v>868313.5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61284</v>
      </c>
      <c r="C43" s="21">
        <v>27923</v>
      </c>
      <c r="D43" s="25">
        <v>28901</v>
      </c>
      <c r="E43" s="21">
        <v>2923</v>
      </c>
      <c r="F43" s="21">
        <v>734</v>
      </c>
      <c r="G43" s="21">
        <v>279</v>
      </c>
      <c r="H43" s="21">
        <v>255</v>
      </c>
      <c r="I43" s="52">
        <v>269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53946</v>
      </c>
      <c r="C44" s="21">
        <v>27145</v>
      </c>
      <c r="D44" s="25">
        <v>22789</v>
      </c>
      <c r="E44" s="21">
        <v>2514</v>
      </c>
      <c r="F44" s="21">
        <v>712</v>
      </c>
      <c r="G44" s="21">
        <v>274</v>
      </c>
      <c r="H44" s="21">
        <v>248</v>
      </c>
      <c r="I44" s="52">
        <v>264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53625</v>
      </c>
      <c r="C45" s="28">
        <v>26367</v>
      </c>
      <c r="D45" s="29">
        <v>23432</v>
      </c>
      <c r="E45" s="28">
        <v>2367</v>
      </c>
      <c r="F45" s="28">
        <v>690</v>
      </c>
      <c r="G45" s="28">
        <v>269</v>
      </c>
      <c r="H45" s="28">
        <v>241</v>
      </c>
      <c r="I45" s="53">
        <v>259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3900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24570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55"/>
  <sheetViews>
    <sheetView zoomScale="60" zoomScaleNormal="60" workbookViewId="0">
      <selection activeCell="F47" sqref="F47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95</v>
      </c>
      <c r="C1" s="70"/>
      <c r="D1" s="70" t="s">
        <v>2</v>
      </c>
      <c r="E1" s="70" t="s">
        <v>96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12574</v>
      </c>
      <c r="H4" s="38">
        <f>F4*G4</f>
        <v>200555.3</v>
      </c>
      <c r="I4" s="45">
        <v>3</v>
      </c>
      <c r="J4" s="101">
        <f>E43</f>
        <v>239</v>
      </c>
      <c r="K4" s="38">
        <f>I4*J4</f>
        <v>717</v>
      </c>
      <c r="L4" s="45">
        <v>3</v>
      </c>
      <c r="M4" s="101">
        <f>F43</f>
        <v>6901</v>
      </c>
      <c r="N4" s="38">
        <f>L4*M4</f>
        <v>20703</v>
      </c>
      <c r="O4" s="46">
        <v>3</v>
      </c>
      <c r="P4" s="101">
        <f>H43</f>
        <v>238</v>
      </c>
      <c r="Q4" s="38">
        <f>O4*P4</f>
        <v>714</v>
      </c>
      <c r="R4" s="46">
        <v>3</v>
      </c>
      <c r="S4" s="101">
        <f>I43</f>
        <v>253</v>
      </c>
      <c r="T4" s="38">
        <f>R4*S4</f>
        <v>759</v>
      </c>
      <c r="U4" s="46">
        <v>0</v>
      </c>
      <c r="V4" s="101">
        <f>SUM(G43:I43)</f>
        <v>754</v>
      </c>
      <c r="W4" s="38">
        <v>0</v>
      </c>
      <c r="X4" s="62">
        <f t="shared" ref="X4:X7" si="0">T4+Q4+N4+K4+H4</f>
        <v>223448.3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25148</v>
      </c>
      <c r="I5" s="45">
        <v>2</v>
      </c>
      <c r="J5" s="102"/>
      <c r="K5" s="38">
        <f>I5*J4</f>
        <v>478</v>
      </c>
      <c r="L5" s="45">
        <v>2</v>
      </c>
      <c r="M5" s="102"/>
      <c r="N5" s="38">
        <f>L5*M4</f>
        <v>13802</v>
      </c>
      <c r="O5" s="40">
        <v>2</v>
      </c>
      <c r="P5" s="102"/>
      <c r="Q5" s="38">
        <f>O5*P4</f>
        <v>476</v>
      </c>
      <c r="R5" s="40">
        <v>2</v>
      </c>
      <c r="S5" s="102"/>
      <c r="T5" s="38">
        <f>R5*S4</f>
        <v>506</v>
      </c>
      <c r="U5" s="40">
        <v>0</v>
      </c>
      <c r="V5" s="102"/>
      <c r="W5" s="38">
        <v>0</v>
      </c>
      <c r="X5" s="62">
        <f t="shared" si="0"/>
        <v>40410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125740</v>
      </c>
      <c r="I7" s="45">
        <v>5</v>
      </c>
      <c r="J7" s="102"/>
      <c r="K7" s="38">
        <f>I7*J4</f>
        <v>1195</v>
      </c>
      <c r="L7" s="45">
        <v>14</v>
      </c>
      <c r="M7" s="102"/>
      <c r="N7" s="38">
        <f>L7*M4</f>
        <v>96614</v>
      </c>
      <c r="O7" s="40">
        <v>5</v>
      </c>
      <c r="P7" s="102"/>
      <c r="Q7" s="38">
        <f>O7*P4</f>
        <v>1190</v>
      </c>
      <c r="R7" s="40">
        <v>14</v>
      </c>
      <c r="S7" s="102"/>
      <c r="T7" s="38">
        <f>R7*S4</f>
        <v>3542</v>
      </c>
      <c r="U7" s="40">
        <v>0</v>
      </c>
      <c r="V7" s="102"/>
      <c r="W7" s="38">
        <v>0</v>
      </c>
      <c r="X7" s="62">
        <f t="shared" si="0"/>
        <v>228281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25148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14326</v>
      </c>
      <c r="X8" s="62">
        <f>T8+Q8+N8+K8+H8+W8</f>
        <v>39474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19489.7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19489.7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396081</v>
      </c>
      <c r="I10" s="41">
        <f t="shared" si="2"/>
        <v>10</v>
      </c>
      <c r="J10" s="103"/>
      <c r="K10" s="41">
        <f t="shared" si="2"/>
        <v>2390</v>
      </c>
      <c r="L10" s="41">
        <f t="shared" si="2"/>
        <v>19</v>
      </c>
      <c r="M10" s="103"/>
      <c r="N10" s="41">
        <f t="shared" ref="N10:R10" si="3">SUM(N4:N9)</f>
        <v>131119</v>
      </c>
      <c r="O10" s="41">
        <f t="shared" si="3"/>
        <v>10</v>
      </c>
      <c r="P10" s="103"/>
      <c r="Q10" s="41">
        <f t="shared" si="3"/>
        <v>2380</v>
      </c>
      <c r="R10" s="41">
        <f t="shared" si="3"/>
        <v>19</v>
      </c>
      <c r="S10" s="103"/>
      <c r="T10" s="41">
        <f t="shared" ref="T10:W10" si="4">SUM(T4:T9)</f>
        <v>4807</v>
      </c>
      <c r="U10" s="41">
        <f t="shared" si="4"/>
        <v>19</v>
      </c>
      <c r="V10" s="103"/>
      <c r="W10" s="41">
        <f t="shared" si="4"/>
        <v>14326</v>
      </c>
      <c r="X10" s="63">
        <f>T10+Q10+N10+K10+H10+W10</f>
        <v>551103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13151</v>
      </c>
      <c r="H12" s="38">
        <f>F12*G12</f>
        <v>209758.45</v>
      </c>
      <c r="I12" s="46">
        <v>3</v>
      </c>
      <c r="J12" s="101">
        <f>E44</f>
        <v>231</v>
      </c>
      <c r="K12" s="38">
        <f>I12*J12</f>
        <v>693</v>
      </c>
      <c r="L12" s="46">
        <v>3</v>
      </c>
      <c r="M12" s="101">
        <f>F44</f>
        <v>6679</v>
      </c>
      <c r="N12" s="38">
        <f>L12*M12</f>
        <v>20037</v>
      </c>
      <c r="O12" s="46">
        <v>3</v>
      </c>
      <c r="P12" s="101">
        <f>H44</f>
        <v>231</v>
      </c>
      <c r="Q12" s="38">
        <f>O12*P12</f>
        <v>693</v>
      </c>
      <c r="R12" s="46">
        <v>3</v>
      </c>
      <c r="S12" s="101">
        <f>I44</f>
        <v>248</v>
      </c>
      <c r="T12" s="38">
        <f>R12*S12</f>
        <v>744</v>
      </c>
      <c r="U12" s="46">
        <v>0</v>
      </c>
      <c r="V12" s="101">
        <f>SUM(G44:I44)</f>
        <v>737</v>
      </c>
      <c r="W12" s="38">
        <v>0</v>
      </c>
      <c r="X12" s="62">
        <f t="shared" si="1"/>
        <v>231925.45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26302</v>
      </c>
      <c r="I13" s="40">
        <v>2</v>
      </c>
      <c r="J13" s="102"/>
      <c r="K13" s="38">
        <f>I13*J12</f>
        <v>462</v>
      </c>
      <c r="L13" s="40">
        <v>2</v>
      </c>
      <c r="M13" s="102"/>
      <c r="N13" s="38">
        <f>L13*M12</f>
        <v>13358</v>
      </c>
      <c r="O13" s="40">
        <v>2</v>
      </c>
      <c r="P13" s="102"/>
      <c r="Q13" s="38">
        <f>O13*P12</f>
        <v>462</v>
      </c>
      <c r="R13" s="40">
        <v>2</v>
      </c>
      <c r="S13" s="102"/>
      <c r="T13" s="38">
        <f>R13*S12</f>
        <v>496</v>
      </c>
      <c r="U13" s="40">
        <v>0</v>
      </c>
      <c r="V13" s="102"/>
      <c r="W13" s="38">
        <v>0</v>
      </c>
      <c r="X13" s="62">
        <f t="shared" si="1"/>
        <v>41080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131510</v>
      </c>
      <c r="I15" s="40">
        <v>5</v>
      </c>
      <c r="J15" s="102"/>
      <c r="K15" s="38">
        <f>I15*J12</f>
        <v>1155</v>
      </c>
      <c r="L15" s="40">
        <v>14</v>
      </c>
      <c r="M15" s="102"/>
      <c r="N15" s="38">
        <f>L15*M12</f>
        <v>93506</v>
      </c>
      <c r="O15" s="40">
        <v>5</v>
      </c>
      <c r="P15" s="102"/>
      <c r="Q15" s="38">
        <f>O15*P12</f>
        <v>1155</v>
      </c>
      <c r="R15" s="40">
        <v>14</v>
      </c>
      <c r="S15" s="102"/>
      <c r="T15" s="38">
        <f>R15*S12</f>
        <v>3472</v>
      </c>
      <c r="U15" s="40">
        <v>0</v>
      </c>
      <c r="V15" s="102"/>
      <c r="W15" s="38">
        <v>0</v>
      </c>
      <c r="X15" s="62">
        <f t="shared" si="1"/>
        <v>230798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26302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14003</v>
      </c>
      <c r="X16" s="62">
        <f>T16+Q16+N16+K16+H16+W16</f>
        <v>40305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20384.05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20384.05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414256.5</v>
      </c>
      <c r="I18" s="41">
        <f t="shared" si="6"/>
        <v>10</v>
      </c>
      <c r="J18" s="103"/>
      <c r="K18" s="41">
        <f t="shared" si="6"/>
        <v>2310</v>
      </c>
      <c r="L18" s="41">
        <f t="shared" si="6"/>
        <v>19</v>
      </c>
      <c r="M18" s="103"/>
      <c r="N18" s="41">
        <f t="shared" ref="N18:R18" si="7">SUM(N12:N17)</f>
        <v>126901</v>
      </c>
      <c r="O18" s="41">
        <f t="shared" si="7"/>
        <v>10</v>
      </c>
      <c r="P18" s="103"/>
      <c r="Q18" s="41">
        <f t="shared" si="7"/>
        <v>2310</v>
      </c>
      <c r="R18" s="41">
        <f t="shared" si="7"/>
        <v>19</v>
      </c>
      <c r="S18" s="103"/>
      <c r="T18" s="41">
        <f t="shared" ref="T18:W18" si="8">SUM(T12:T17)</f>
        <v>4712</v>
      </c>
      <c r="U18" s="41">
        <f t="shared" si="8"/>
        <v>19</v>
      </c>
      <c r="V18" s="103"/>
      <c r="W18" s="41">
        <f t="shared" si="8"/>
        <v>14003</v>
      </c>
      <c r="X18" s="63">
        <f>T18+Q18+N18+K18+H18+W18</f>
        <v>564492.5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13593</v>
      </c>
      <c r="H20" s="38">
        <f>F20*G20</f>
        <v>216808.35</v>
      </c>
      <c r="I20" s="46">
        <v>3</v>
      </c>
      <c r="J20" s="101">
        <f>E45</f>
        <v>259</v>
      </c>
      <c r="K20" s="38">
        <f>I20*J20</f>
        <v>777</v>
      </c>
      <c r="L20" s="46">
        <v>3</v>
      </c>
      <c r="M20" s="101">
        <f>F45</f>
        <v>7345</v>
      </c>
      <c r="N20" s="38">
        <f>L20*M20</f>
        <v>22035</v>
      </c>
      <c r="O20" s="46">
        <v>3</v>
      </c>
      <c r="P20" s="101">
        <f>H45</f>
        <v>256</v>
      </c>
      <c r="Q20" s="38">
        <f>O20*P20</f>
        <v>768</v>
      </c>
      <c r="R20" s="46">
        <v>3</v>
      </c>
      <c r="S20" s="101">
        <f>I45</f>
        <v>270</v>
      </c>
      <c r="T20" s="38">
        <f>R20*S20</f>
        <v>810</v>
      </c>
      <c r="U20" s="46">
        <v>0</v>
      </c>
      <c r="V20" s="101">
        <f>SUM((G45:I45))</f>
        <v>806</v>
      </c>
      <c r="W20" s="38">
        <v>0</v>
      </c>
      <c r="X20" s="62">
        <f t="shared" si="5"/>
        <v>241198.35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27186</v>
      </c>
      <c r="I21" s="40">
        <v>2</v>
      </c>
      <c r="J21" s="102"/>
      <c r="K21" s="38">
        <f>I21*J20</f>
        <v>518</v>
      </c>
      <c r="L21" s="40">
        <v>2</v>
      </c>
      <c r="M21" s="102"/>
      <c r="N21" s="38">
        <f>L21*M20</f>
        <v>14690</v>
      </c>
      <c r="O21" s="40">
        <v>2</v>
      </c>
      <c r="P21" s="102"/>
      <c r="Q21" s="38">
        <f>O21*P20</f>
        <v>512</v>
      </c>
      <c r="R21" s="40">
        <v>2</v>
      </c>
      <c r="S21" s="102"/>
      <c r="T21" s="38">
        <f>R21*S20</f>
        <v>540</v>
      </c>
      <c r="U21" s="40">
        <v>0</v>
      </c>
      <c r="V21" s="102"/>
      <c r="W21" s="38">
        <v>0</v>
      </c>
      <c r="X21" s="62">
        <f t="shared" si="5"/>
        <v>43446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135930</v>
      </c>
      <c r="I23" s="40">
        <v>5</v>
      </c>
      <c r="J23" s="102"/>
      <c r="K23" s="38">
        <f>I23*J20</f>
        <v>1295</v>
      </c>
      <c r="L23" s="40">
        <v>14</v>
      </c>
      <c r="M23" s="102"/>
      <c r="N23" s="38">
        <f>L23*M20</f>
        <v>102830</v>
      </c>
      <c r="O23" s="40">
        <v>5</v>
      </c>
      <c r="P23" s="102"/>
      <c r="Q23" s="38">
        <f>O23*P20</f>
        <v>1280</v>
      </c>
      <c r="R23" s="40">
        <v>14</v>
      </c>
      <c r="S23" s="102"/>
      <c r="T23" s="38">
        <f>R23*S20</f>
        <v>3780</v>
      </c>
      <c r="U23" s="40">
        <v>0</v>
      </c>
      <c r="V23" s="102"/>
      <c r="W23" s="38">
        <v>0</v>
      </c>
      <c r="X23" s="62">
        <f t="shared" si="5"/>
        <v>245115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27186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15314</v>
      </c>
      <c r="X24" s="62">
        <f>T24+Q24+N24+K24+H24+W24</f>
        <v>42500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21069.15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21069.15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428179.5</v>
      </c>
      <c r="I26" s="43">
        <f t="shared" si="9"/>
        <v>10</v>
      </c>
      <c r="J26" s="104"/>
      <c r="K26" s="43">
        <f t="shared" si="9"/>
        <v>2590</v>
      </c>
      <c r="L26" s="43">
        <f t="shared" si="9"/>
        <v>19</v>
      </c>
      <c r="M26" s="104"/>
      <c r="N26" s="43">
        <f t="shared" ref="N26:R26" si="10">SUM(N20:N25)</f>
        <v>139555</v>
      </c>
      <c r="O26" s="43">
        <f t="shared" si="10"/>
        <v>10</v>
      </c>
      <c r="P26" s="104"/>
      <c r="Q26" s="43">
        <f t="shared" si="10"/>
        <v>2560</v>
      </c>
      <c r="R26" s="43">
        <f t="shared" si="10"/>
        <v>19</v>
      </c>
      <c r="S26" s="104"/>
      <c r="T26" s="43">
        <f t="shared" ref="T26:W26" si="11">SUM(T20:T25)</f>
        <v>5130</v>
      </c>
      <c r="U26" s="43">
        <f t="shared" si="11"/>
        <v>19</v>
      </c>
      <c r="V26" s="104"/>
      <c r="W26" s="43">
        <f t="shared" si="11"/>
        <v>15314</v>
      </c>
      <c r="X26" s="65">
        <f>T26+Q26+N26+K26+H26+W26</f>
        <v>593328.5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344567.89</v>
      </c>
      <c r="E31" s="22">
        <f t="shared" ref="E31:E34" si="12">X4</f>
        <v>223448.3</v>
      </c>
      <c r="F31" s="22">
        <f t="shared" ref="F31:F34" si="13">E31-D31</f>
        <v>-121119.59</v>
      </c>
      <c r="G31" s="22">
        <f t="shared" ref="G31:G34" si="14">X12</f>
        <v>231925.45</v>
      </c>
      <c r="H31" s="22">
        <f t="shared" ref="H31:H34" si="15">G31-D31</f>
        <v>-112642.44</v>
      </c>
      <c r="I31" s="22">
        <f t="shared" ref="I31:I34" si="16">X20</f>
        <v>241198.35</v>
      </c>
      <c r="J31" s="50">
        <f t="shared" ref="J31:J34" si="17">I31-D31</f>
        <v>-103369.54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66789.009999999995</v>
      </c>
      <c r="E32" s="22">
        <f t="shared" si="12"/>
        <v>40410</v>
      </c>
      <c r="F32" s="22">
        <f t="shared" si="13"/>
        <v>-26379.01</v>
      </c>
      <c r="G32" s="22">
        <f t="shared" si="14"/>
        <v>41080</v>
      </c>
      <c r="H32" s="22">
        <f t="shared" si="15"/>
        <v>-25709.01</v>
      </c>
      <c r="I32" s="22">
        <f t="shared" si="16"/>
        <v>43446</v>
      </c>
      <c r="J32" s="50">
        <f t="shared" si="17"/>
        <v>-23343.01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313456.78000000003</v>
      </c>
      <c r="E33" s="22">
        <f>X7+X8</f>
        <v>267755</v>
      </c>
      <c r="F33" s="22">
        <f t="shared" si="13"/>
        <v>-45701.78</v>
      </c>
      <c r="G33" s="22">
        <f>X15+X16</f>
        <v>271103</v>
      </c>
      <c r="H33" s="22">
        <f t="shared" si="15"/>
        <v>-42353.78</v>
      </c>
      <c r="I33" s="22">
        <f>X23+X24</f>
        <v>287615</v>
      </c>
      <c r="J33" s="50">
        <f t="shared" si="17"/>
        <v>-25841.78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289248.07</v>
      </c>
      <c r="E34" s="22">
        <f t="shared" si="12"/>
        <v>228281</v>
      </c>
      <c r="F34" s="22">
        <f t="shared" si="13"/>
        <v>-60967.07</v>
      </c>
      <c r="G34" s="22">
        <f t="shared" si="14"/>
        <v>230798</v>
      </c>
      <c r="H34" s="22">
        <f t="shared" si="15"/>
        <v>-58450.07</v>
      </c>
      <c r="I34" s="22">
        <f t="shared" si="16"/>
        <v>245115</v>
      </c>
      <c r="J34" s="50">
        <f t="shared" si="17"/>
        <v>-44133.07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24208.71</v>
      </c>
      <c r="E35" s="22">
        <f t="shared" si="18"/>
        <v>39474</v>
      </c>
      <c r="F35" s="22">
        <f t="shared" si="18"/>
        <v>15265.29</v>
      </c>
      <c r="G35" s="22">
        <f t="shared" si="18"/>
        <v>40305</v>
      </c>
      <c r="H35" s="22">
        <f t="shared" si="18"/>
        <v>16096.29</v>
      </c>
      <c r="I35" s="22">
        <f t="shared" si="18"/>
        <v>42500</v>
      </c>
      <c r="J35" s="50">
        <f t="shared" si="18"/>
        <v>18291.29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2141.21</v>
      </c>
      <c r="E36" s="22">
        <f>X9</f>
        <v>19489.7</v>
      </c>
      <c r="F36" s="22">
        <f>E36-D36</f>
        <v>17348.490000000002</v>
      </c>
      <c r="G36" s="22">
        <f>X17</f>
        <v>20384.05</v>
      </c>
      <c r="H36" s="22">
        <f>G36-D36</f>
        <v>18242.84</v>
      </c>
      <c r="I36" s="22">
        <f>X25</f>
        <v>21069.15</v>
      </c>
      <c r="J36" s="50">
        <f>I36-D36</f>
        <v>18927.939999999999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726954.89</v>
      </c>
      <c r="E37" s="22">
        <f>X10</f>
        <v>551103</v>
      </c>
      <c r="F37" s="22">
        <f>E37-D37</f>
        <v>-175851.89</v>
      </c>
      <c r="G37" s="22">
        <f>X18</f>
        <v>564492.5</v>
      </c>
      <c r="H37" s="22">
        <f>G37-D37</f>
        <v>-162462.39000000001</v>
      </c>
      <c r="I37" s="22">
        <f>X26</f>
        <v>593328.5</v>
      </c>
      <c r="J37" s="50">
        <f>I37-D37</f>
        <v>-133626.39000000001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-136330.89000000001</v>
      </c>
      <c r="G38" s="18"/>
      <c r="H38" s="22">
        <f>H37+C48+C49</f>
        <v>-122941.39</v>
      </c>
      <c r="I38" s="18"/>
      <c r="J38" s="50">
        <f>J37+C48+C49</f>
        <v>-94105.39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12574</v>
      </c>
      <c r="C43" s="21">
        <v>2602</v>
      </c>
      <c r="D43" s="25">
        <v>2078</v>
      </c>
      <c r="E43" s="21">
        <v>239</v>
      </c>
      <c r="F43" s="21">
        <v>6901</v>
      </c>
      <c r="G43" s="21">
        <v>263</v>
      </c>
      <c r="H43" s="21">
        <v>238</v>
      </c>
      <c r="I43" s="52">
        <v>253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13151</v>
      </c>
      <c r="C44" s="21">
        <v>2524</v>
      </c>
      <c r="D44" s="25">
        <v>2980</v>
      </c>
      <c r="E44" s="21">
        <v>231</v>
      </c>
      <c r="F44" s="21">
        <v>6679</v>
      </c>
      <c r="G44" s="21">
        <v>258</v>
      </c>
      <c r="H44" s="21">
        <v>231</v>
      </c>
      <c r="I44" s="52">
        <v>248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13593</v>
      </c>
      <c r="C45" s="28">
        <v>2793</v>
      </c>
      <c r="D45" s="29">
        <v>2390</v>
      </c>
      <c r="E45" s="28">
        <v>259</v>
      </c>
      <c r="F45" s="28">
        <v>7345</v>
      </c>
      <c r="G45" s="28">
        <v>280</v>
      </c>
      <c r="H45" s="28">
        <v>256</v>
      </c>
      <c r="I45" s="53">
        <v>270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13900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25621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55"/>
  <sheetViews>
    <sheetView zoomScale="60" zoomScaleNormal="60" workbookViewId="0">
      <selection activeCell="F46" sqref="F46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97</v>
      </c>
      <c r="C1" s="70"/>
      <c r="D1" s="70" t="s">
        <v>2</v>
      </c>
      <c r="E1" s="70" t="s">
        <v>98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26056</v>
      </c>
      <c r="H4" s="38">
        <f>F4*G4</f>
        <v>415593.2</v>
      </c>
      <c r="I4" s="45">
        <v>3</v>
      </c>
      <c r="J4" s="101">
        <f>E43</f>
        <v>0</v>
      </c>
      <c r="K4" s="38">
        <f>I4*J4</f>
        <v>0</v>
      </c>
      <c r="L4" s="45">
        <v>3</v>
      </c>
      <c r="M4" s="101">
        <f>F43</f>
        <v>0</v>
      </c>
      <c r="N4" s="38">
        <f>L4*M4</f>
        <v>0</v>
      </c>
      <c r="O4" s="46">
        <v>3</v>
      </c>
      <c r="P4" s="101">
        <f>H43</f>
        <v>0</v>
      </c>
      <c r="Q4" s="38">
        <f>O4*P4</f>
        <v>0</v>
      </c>
      <c r="R4" s="46">
        <v>3</v>
      </c>
      <c r="S4" s="101">
        <f>I43</f>
        <v>0</v>
      </c>
      <c r="T4" s="38">
        <f>R4*S4</f>
        <v>0</v>
      </c>
      <c r="U4" s="46">
        <v>0</v>
      </c>
      <c r="V4" s="101">
        <f>SUM(G43:I43)</f>
        <v>259</v>
      </c>
      <c r="W4" s="38">
        <v>0</v>
      </c>
      <c r="X4" s="62">
        <f t="shared" ref="X4:X7" si="0">T4+Q4+N4+K4+H4</f>
        <v>415593.2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52112</v>
      </c>
      <c r="I5" s="45">
        <v>2</v>
      </c>
      <c r="J5" s="102"/>
      <c r="K5" s="38">
        <f>I5*J4</f>
        <v>0</v>
      </c>
      <c r="L5" s="45">
        <v>2</v>
      </c>
      <c r="M5" s="102"/>
      <c r="N5" s="38">
        <f>L5*M4</f>
        <v>0</v>
      </c>
      <c r="O5" s="40">
        <v>2</v>
      </c>
      <c r="P5" s="102"/>
      <c r="Q5" s="38">
        <f>O5*P4</f>
        <v>0</v>
      </c>
      <c r="R5" s="40">
        <v>2</v>
      </c>
      <c r="S5" s="102"/>
      <c r="T5" s="38">
        <f>R5*S4</f>
        <v>0</v>
      </c>
      <c r="U5" s="40">
        <v>0</v>
      </c>
      <c r="V5" s="102"/>
      <c r="W5" s="38">
        <v>0</v>
      </c>
      <c r="X5" s="62">
        <f t="shared" si="0"/>
        <v>52112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260560</v>
      </c>
      <c r="I7" s="45">
        <v>5</v>
      </c>
      <c r="J7" s="102"/>
      <c r="K7" s="38">
        <f>I7*J4</f>
        <v>0</v>
      </c>
      <c r="L7" s="45">
        <v>14</v>
      </c>
      <c r="M7" s="102"/>
      <c r="N7" s="38">
        <f>L7*M4</f>
        <v>0</v>
      </c>
      <c r="O7" s="40">
        <v>5</v>
      </c>
      <c r="P7" s="102"/>
      <c r="Q7" s="38">
        <f>O7*P4</f>
        <v>0</v>
      </c>
      <c r="R7" s="40">
        <v>14</v>
      </c>
      <c r="S7" s="102"/>
      <c r="T7" s="38">
        <f>R7*S4</f>
        <v>0</v>
      </c>
      <c r="U7" s="40">
        <v>0</v>
      </c>
      <c r="V7" s="102"/>
      <c r="W7" s="38">
        <v>0</v>
      </c>
      <c r="X7" s="62">
        <f t="shared" si="0"/>
        <v>260560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52112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4921</v>
      </c>
      <c r="X8" s="62">
        <f>T8+Q8+N8+K8+H8+W8</f>
        <v>57033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40386.800000000003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40386.800000000003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820764</v>
      </c>
      <c r="I10" s="41">
        <f t="shared" si="2"/>
        <v>10</v>
      </c>
      <c r="J10" s="103"/>
      <c r="K10" s="41">
        <f t="shared" si="2"/>
        <v>0</v>
      </c>
      <c r="L10" s="41">
        <f t="shared" si="2"/>
        <v>19</v>
      </c>
      <c r="M10" s="103"/>
      <c r="N10" s="41">
        <f t="shared" ref="N10:R10" si="3">SUM(N4:N9)</f>
        <v>0</v>
      </c>
      <c r="O10" s="41">
        <f t="shared" si="3"/>
        <v>10</v>
      </c>
      <c r="P10" s="103"/>
      <c r="Q10" s="41">
        <f t="shared" si="3"/>
        <v>0</v>
      </c>
      <c r="R10" s="41">
        <f t="shared" si="3"/>
        <v>19</v>
      </c>
      <c r="S10" s="103"/>
      <c r="T10" s="41">
        <f t="shared" ref="T10:W10" si="4">SUM(T4:T9)</f>
        <v>0</v>
      </c>
      <c r="U10" s="41">
        <f t="shared" si="4"/>
        <v>19</v>
      </c>
      <c r="V10" s="103"/>
      <c r="W10" s="41">
        <f t="shared" si="4"/>
        <v>4921</v>
      </c>
      <c r="X10" s="63">
        <f>T10+Q10+N10+K10+H10+W10</f>
        <v>825685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25262</v>
      </c>
      <c r="H12" s="38">
        <f>F12*G12</f>
        <v>402928.9</v>
      </c>
      <c r="I12" s="46">
        <v>3</v>
      </c>
      <c r="J12" s="101">
        <f>E44</f>
        <v>0</v>
      </c>
      <c r="K12" s="38">
        <f>I12*J12</f>
        <v>0</v>
      </c>
      <c r="L12" s="46">
        <v>3</v>
      </c>
      <c r="M12" s="101">
        <f>F44</f>
        <v>0</v>
      </c>
      <c r="N12" s="38">
        <f>L12*M12</f>
        <v>0</v>
      </c>
      <c r="O12" s="46">
        <v>3</v>
      </c>
      <c r="P12" s="101">
        <f>H44</f>
        <v>0</v>
      </c>
      <c r="Q12" s="38">
        <f>O12*P12</f>
        <v>0</v>
      </c>
      <c r="R12" s="46">
        <v>3</v>
      </c>
      <c r="S12" s="101">
        <f>I44</f>
        <v>0</v>
      </c>
      <c r="T12" s="38">
        <f>R12*S12</f>
        <v>0</v>
      </c>
      <c r="U12" s="46">
        <v>0</v>
      </c>
      <c r="V12" s="101">
        <f>SUM(G44:I44)</f>
        <v>254</v>
      </c>
      <c r="W12" s="38">
        <v>0</v>
      </c>
      <c r="X12" s="62">
        <f t="shared" si="1"/>
        <v>402928.9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50524</v>
      </c>
      <c r="I13" s="40">
        <v>2</v>
      </c>
      <c r="J13" s="102"/>
      <c r="K13" s="38">
        <f>I13*J12</f>
        <v>0</v>
      </c>
      <c r="L13" s="40">
        <v>2</v>
      </c>
      <c r="M13" s="102"/>
      <c r="N13" s="38">
        <f>L13*M12</f>
        <v>0</v>
      </c>
      <c r="O13" s="40">
        <v>2</v>
      </c>
      <c r="P13" s="102"/>
      <c r="Q13" s="38">
        <f>O13*P12</f>
        <v>0</v>
      </c>
      <c r="R13" s="40">
        <v>2</v>
      </c>
      <c r="S13" s="102"/>
      <c r="T13" s="38">
        <f>R13*S12</f>
        <v>0</v>
      </c>
      <c r="U13" s="40">
        <v>0</v>
      </c>
      <c r="V13" s="102"/>
      <c r="W13" s="38">
        <v>0</v>
      </c>
      <c r="X13" s="62">
        <f t="shared" si="1"/>
        <v>50524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252620</v>
      </c>
      <c r="I15" s="40">
        <v>5</v>
      </c>
      <c r="J15" s="102"/>
      <c r="K15" s="38">
        <f>I15*J12</f>
        <v>0</v>
      </c>
      <c r="L15" s="40">
        <v>14</v>
      </c>
      <c r="M15" s="102"/>
      <c r="N15" s="38">
        <f>L15*M12</f>
        <v>0</v>
      </c>
      <c r="O15" s="40">
        <v>5</v>
      </c>
      <c r="P15" s="102"/>
      <c r="Q15" s="38">
        <f>O15*P12</f>
        <v>0</v>
      </c>
      <c r="R15" s="40">
        <v>14</v>
      </c>
      <c r="S15" s="102"/>
      <c r="T15" s="38">
        <f>R15*S12</f>
        <v>0</v>
      </c>
      <c r="U15" s="40">
        <v>0</v>
      </c>
      <c r="V15" s="102"/>
      <c r="W15" s="38">
        <v>0</v>
      </c>
      <c r="X15" s="62">
        <f t="shared" si="1"/>
        <v>252620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50524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4826</v>
      </c>
      <c r="X16" s="62">
        <f>T16+Q16+N16+K16+H16+W16</f>
        <v>55350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39156.1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39156.1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795753</v>
      </c>
      <c r="I18" s="41">
        <f t="shared" si="6"/>
        <v>10</v>
      </c>
      <c r="J18" s="103"/>
      <c r="K18" s="41">
        <f t="shared" si="6"/>
        <v>0</v>
      </c>
      <c r="L18" s="41">
        <f t="shared" si="6"/>
        <v>19</v>
      </c>
      <c r="M18" s="103"/>
      <c r="N18" s="41">
        <f t="shared" ref="N18:R18" si="7">SUM(N12:N17)</f>
        <v>0</v>
      </c>
      <c r="O18" s="41">
        <f t="shared" si="7"/>
        <v>10</v>
      </c>
      <c r="P18" s="103"/>
      <c r="Q18" s="41">
        <f t="shared" si="7"/>
        <v>0</v>
      </c>
      <c r="R18" s="41">
        <f t="shared" si="7"/>
        <v>19</v>
      </c>
      <c r="S18" s="103"/>
      <c r="T18" s="41">
        <f t="shared" ref="T18:W18" si="8">SUM(T12:T17)</f>
        <v>0</v>
      </c>
      <c r="U18" s="41">
        <f t="shared" si="8"/>
        <v>19</v>
      </c>
      <c r="V18" s="103"/>
      <c r="W18" s="41">
        <f t="shared" si="8"/>
        <v>4826</v>
      </c>
      <c r="X18" s="63">
        <f>T18+Q18+N18+K18+H18+W18</f>
        <v>800579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24486</v>
      </c>
      <c r="H20" s="38">
        <f>F20*G20</f>
        <v>390551.7</v>
      </c>
      <c r="I20" s="46">
        <v>3</v>
      </c>
      <c r="J20" s="101">
        <f>E45</f>
        <v>0</v>
      </c>
      <c r="K20" s="38">
        <f>I20*J20</f>
        <v>0</v>
      </c>
      <c r="L20" s="46">
        <v>3</v>
      </c>
      <c r="M20" s="101">
        <f>F45</f>
        <v>0</v>
      </c>
      <c r="N20" s="38">
        <f>L20*M20</f>
        <v>0</v>
      </c>
      <c r="O20" s="46">
        <v>3</v>
      </c>
      <c r="P20" s="101">
        <f>H45</f>
        <v>0</v>
      </c>
      <c r="Q20" s="38">
        <f>O20*P20</f>
        <v>0</v>
      </c>
      <c r="R20" s="46">
        <v>3</v>
      </c>
      <c r="S20" s="101">
        <f>I45</f>
        <v>0</v>
      </c>
      <c r="T20" s="38">
        <f>R20*S20</f>
        <v>0</v>
      </c>
      <c r="U20" s="46">
        <v>0</v>
      </c>
      <c r="V20" s="101">
        <f>SUM((G45:I45))</f>
        <v>249</v>
      </c>
      <c r="W20" s="38">
        <v>0</v>
      </c>
      <c r="X20" s="62">
        <f t="shared" si="5"/>
        <v>390551.7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48972</v>
      </c>
      <c r="I21" s="40">
        <v>2</v>
      </c>
      <c r="J21" s="102"/>
      <c r="K21" s="38">
        <f>I21*J20</f>
        <v>0</v>
      </c>
      <c r="L21" s="40">
        <v>2</v>
      </c>
      <c r="M21" s="102"/>
      <c r="N21" s="38">
        <f>L21*M20</f>
        <v>0</v>
      </c>
      <c r="O21" s="40">
        <v>2</v>
      </c>
      <c r="P21" s="102"/>
      <c r="Q21" s="38">
        <f>O21*P20</f>
        <v>0</v>
      </c>
      <c r="R21" s="40">
        <v>2</v>
      </c>
      <c r="S21" s="102"/>
      <c r="T21" s="38">
        <f>R21*S20</f>
        <v>0</v>
      </c>
      <c r="U21" s="40">
        <v>0</v>
      </c>
      <c r="V21" s="102"/>
      <c r="W21" s="38">
        <v>0</v>
      </c>
      <c r="X21" s="62">
        <f t="shared" si="5"/>
        <v>48972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244860</v>
      </c>
      <c r="I23" s="40">
        <v>5</v>
      </c>
      <c r="J23" s="102"/>
      <c r="K23" s="38">
        <f>I23*J20</f>
        <v>0</v>
      </c>
      <c r="L23" s="40">
        <v>14</v>
      </c>
      <c r="M23" s="102"/>
      <c r="N23" s="38">
        <f>L23*M20</f>
        <v>0</v>
      </c>
      <c r="O23" s="40">
        <v>5</v>
      </c>
      <c r="P23" s="102"/>
      <c r="Q23" s="38">
        <f>O23*P20</f>
        <v>0</v>
      </c>
      <c r="R23" s="40">
        <v>14</v>
      </c>
      <c r="S23" s="102"/>
      <c r="T23" s="38">
        <f>R23*S20</f>
        <v>0</v>
      </c>
      <c r="U23" s="40">
        <v>0</v>
      </c>
      <c r="V23" s="102"/>
      <c r="W23" s="38">
        <v>0</v>
      </c>
      <c r="X23" s="62">
        <f t="shared" si="5"/>
        <v>244860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48972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4731</v>
      </c>
      <c r="X24" s="62">
        <f>T24+Q24+N24+K24+H24+W24</f>
        <v>53703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37953.300000000003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37953.300000000003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771309</v>
      </c>
      <c r="I26" s="43">
        <f t="shared" si="9"/>
        <v>10</v>
      </c>
      <c r="J26" s="104"/>
      <c r="K26" s="43">
        <f t="shared" si="9"/>
        <v>0</v>
      </c>
      <c r="L26" s="43">
        <f t="shared" si="9"/>
        <v>19</v>
      </c>
      <c r="M26" s="104"/>
      <c r="N26" s="43">
        <f t="shared" ref="N26:R26" si="10">SUM(N20:N25)</f>
        <v>0</v>
      </c>
      <c r="O26" s="43">
        <f t="shared" si="10"/>
        <v>10</v>
      </c>
      <c r="P26" s="104"/>
      <c r="Q26" s="43">
        <f t="shared" si="10"/>
        <v>0</v>
      </c>
      <c r="R26" s="43">
        <f t="shared" si="10"/>
        <v>19</v>
      </c>
      <c r="S26" s="104"/>
      <c r="T26" s="43">
        <f t="shared" ref="T26:W26" si="11">SUM(T20:T25)</f>
        <v>0</v>
      </c>
      <c r="U26" s="43">
        <f t="shared" si="11"/>
        <v>19</v>
      </c>
      <c r="V26" s="104"/>
      <c r="W26" s="43">
        <f t="shared" si="11"/>
        <v>4731</v>
      </c>
      <c r="X26" s="65">
        <f>T26+Q26+N26+K26+H26+W26</f>
        <v>776040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384321.09</v>
      </c>
      <c r="E31" s="22">
        <f t="shared" ref="E31:E34" si="12">X4</f>
        <v>415593.2</v>
      </c>
      <c r="F31" s="22">
        <f t="shared" ref="F31:F34" si="13">E31-D31</f>
        <v>31272.109999999899</v>
      </c>
      <c r="G31" s="22">
        <f t="shared" ref="G31:G34" si="14">X12</f>
        <v>402928.9</v>
      </c>
      <c r="H31" s="22">
        <f t="shared" ref="H31:H34" si="15">G31-D31</f>
        <v>18607.809999999899</v>
      </c>
      <c r="I31" s="22">
        <f t="shared" ref="I31:I34" si="16">X20</f>
        <v>390551.7</v>
      </c>
      <c r="J31" s="50">
        <f t="shared" ref="J31:J34" si="17">I31-D31</f>
        <v>6230.6099999999897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77654.320000000007</v>
      </c>
      <c r="E32" s="22">
        <f t="shared" si="12"/>
        <v>52112</v>
      </c>
      <c r="F32" s="22">
        <f t="shared" si="13"/>
        <v>-25542.32</v>
      </c>
      <c r="G32" s="22">
        <f t="shared" si="14"/>
        <v>50524</v>
      </c>
      <c r="H32" s="22">
        <f t="shared" si="15"/>
        <v>-27130.32</v>
      </c>
      <c r="I32" s="22">
        <f t="shared" si="16"/>
        <v>48972</v>
      </c>
      <c r="J32" s="50">
        <f t="shared" si="17"/>
        <v>-28682.32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341234.56</v>
      </c>
      <c r="E33" s="22">
        <f>X7+X8</f>
        <v>317593</v>
      </c>
      <c r="F33" s="22">
        <f t="shared" si="13"/>
        <v>-23641.56</v>
      </c>
      <c r="G33" s="22">
        <f>X15+X16</f>
        <v>307970</v>
      </c>
      <c r="H33" s="22">
        <f t="shared" si="15"/>
        <v>-33264.559999999998</v>
      </c>
      <c r="I33" s="22">
        <f>X23+X24</f>
        <v>298563</v>
      </c>
      <c r="J33" s="50">
        <f t="shared" si="17"/>
        <v>-42671.56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316008</v>
      </c>
      <c r="E34" s="22">
        <f t="shared" si="12"/>
        <v>260560</v>
      </c>
      <c r="F34" s="22">
        <f t="shared" si="13"/>
        <v>-55448</v>
      </c>
      <c r="G34" s="22">
        <f t="shared" si="14"/>
        <v>252620</v>
      </c>
      <c r="H34" s="22">
        <f t="shared" si="15"/>
        <v>-63388</v>
      </c>
      <c r="I34" s="22">
        <f t="shared" si="16"/>
        <v>244860</v>
      </c>
      <c r="J34" s="50">
        <f t="shared" si="17"/>
        <v>-71148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25226.560000000001</v>
      </c>
      <c r="E35" s="22">
        <f t="shared" si="18"/>
        <v>57033</v>
      </c>
      <c r="F35" s="22">
        <f t="shared" si="18"/>
        <v>31806.44</v>
      </c>
      <c r="G35" s="22">
        <f t="shared" si="18"/>
        <v>55350</v>
      </c>
      <c r="H35" s="22">
        <f t="shared" si="18"/>
        <v>30123.439999999999</v>
      </c>
      <c r="I35" s="22">
        <f t="shared" si="18"/>
        <v>53703</v>
      </c>
      <c r="J35" s="50">
        <f t="shared" si="18"/>
        <v>28476.44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12141.21</v>
      </c>
      <c r="E36" s="22">
        <f>X9</f>
        <v>40386.800000000003</v>
      </c>
      <c r="F36" s="22">
        <f>E36-D36</f>
        <v>28245.59</v>
      </c>
      <c r="G36" s="22">
        <f>X17</f>
        <v>39156.1</v>
      </c>
      <c r="H36" s="22">
        <f>G36-D36</f>
        <v>27014.89</v>
      </c>
      <c r="I36" s="22">
        <f>X25</f>
        <v>37953.300000000003</v>
      </c>
      <c r="J36" s="50">
        <f>I36-D36</f>
        <v>25812.09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815351.18</v>
      </c>
      <c r="E37" s="22">
        <f>X10</f>
        <v>825685</v>
      </c>
      <c r="F37" s="22">
        <f>E37-D37</f>
        <v>10333.8200000001</v>
      </c>
      <c r="G37" s="22">
        <f>X18</f>
        <v>800579</v>
      </c>
      <c r="H37" s="22">
        <f>G37-D37</f>
        <v>-14772.1800000001</v>
      </c>
      <c r="I37" s="22">
        <f>X26</f>
        <v>776040</v>
      </c>
      <c r="J37" s="50">
        <f>I37-D37</f>
        <v>-39311.179999999898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49854.820000000102</v>
      </c>
      <c r="G38" s="18"/>
      <c r="H38" s="22">
        <f>H37+C48+C49</f>
        <v>24748.819999999901</v>
      </c>
      <c r="I38" s="18"/>
      <c r="J38" s="50">
        <f>J37+C48+C49</f>
        <v>209.82000000006499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26056</v>
      </c>
      <c r="C43" s="21">
        <v>25601</v>
      </c>
      <c r="D43" s="25">
        <v>196</v>
      </c>
      <c r="E43" s="21">
        <v>0</v>
      </c>
      <c r="F43" s="21">
        <v>0</v>
      </c>
      <c r="G43" s="21">
        <v>259</v>
      </c>
      <c r="H43" s="21">
        <v>0</v>
      </c>
      <c r="I43" s="52">
        <v>0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25262</v>
      </c>
      <c r="C44" s="21">
        <v>24823</v>
      </c>
      <c r="D44" s="25">
        <v>185</v>
      </c>
      <c r="E44" s="21">
        <v>0</v>
      </c>
      <c r="F44" s="21">
        <v>0</v>
      </c>
      <c r="G44" s="21">
        <v>254</v>
      </c>
      <c r="H44" s="21">
        <v>0</v>
      </c>
      <c r="I44" s="52">
        <v>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24486</v>
      </c>
      <c r="C45" s="28">
        <v>24045</v>
      </c>
      <c r="D45" s="29">
        <v>192</v>
      </c>
      <c r="E45" s="21">
        <v>0</v>
      </c>
      <c r="F45" s="21">
        <v>0</v>
      </c>
      <c r="G45" s="28">
        <v>249</v>
      </c>
      <c r="H45" s="28">
        <v>0</v>
      </c>
      <c r="I45" s="53">
        <v>0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13900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25621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55"/>
  <sheetViews>
    <sheetView zoomScale="60" zoomScaleNormal="60" workbookViewId="0">
      <selection activeCell="E1" sqref="E1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99</v>
      </c>
      <c r="C1" s="70"/>
      <c r="D1" s="70" t="s">
        <v>2</v>
      </c>
      <c r="E1" s="70" t="s">
        <v>78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100</v>
      </c>
      <c r="E4" s="39" t="s">
        <v>25</v>
      </c>
      <c r="F4" s="40">
        <v>15.95</v>
      </c>
      <c r="G4" s="101">
        <f>B43</f>
        <v>4961</v>
      </c>
      <c r="H4" s="38">
        <f>F4*G4</f>
        <v>79127.95</v>
      </c>
      <c r="I4" s="45">
        <v>3</v>
      </c>
      <c r="J4" s="101">
        <f>E43</f>
        <v>122</v>
      </c>
      <c r="K4" s="38">
        <f>I4*J4</f>
        <v>366</v>
      </c>
      <c r="L4" s="45">
        <v>3</v>
      </c>
      <c r="M4" s="101">
        <f>F43</f>
        <v>20</v>
      </c>
      <c r="N4" s="38">
        <f>L4*M4</f>
        <v>60</v>
      </c>
      <c r="O4" s="46">
        <v>3</v>
      </c>
      <c r="P4" s="101">
        <f>H43</f>
        <v>40</v>
      </c>
      <c r="Q4" s="38">
        <f>O4*P4</f>
        <v>120</v>
      </c>
      <c r="R4" s="46">
        <v>3</v>
      </c>
      <c r="S4" s="101">
        <f>I43</f>
        <v>0</v>
      </c>
      <c r="T4" s="38">
        <f>R4*S4</f>
        <v>0</v>
      </c>
      <c r="U4" s="46">
        <v>0</v>
      </c>
      <c r="V4" s="101">
        <f>SUM(G43:I43)</f>
        <v>299</v>
      </c>
      <c r="W4" s="38">
        <v>0</v>
      </c>
      <c r="X4" s="62">
        <f t="shared" ref="X4:X7" si="0">T4+Q4+N4+K4+H4</f>
        <v>79673.95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9922</v>
      </c>
      <c r="I5" s="45">
        <v>2</v>
      </c>
      <c r="J5" s="102"/>
      <c r="K5" s="38">
        <f>I5*J4</f>
        <v>244</v>
      </c>
      <c r="L5" s="45">
        <v>2</v>
      </c>
      <c r="M5" s="102"/>
      <c r="N5" s="38">
        <f>L5*M4</f>
        <v>40</v>
      </c>
      <c r="O5" s="40">
        <v>2</v>
      </c>
      <c r="P5" s="102"/>
      <c r="Q5" s="38">
        <f>O5*P4</f>
        <v>80</v>
      </c>
      <c r="R5" s="40">
        <v>2</v>
      </c>
      <c r="S5" s="102"/>
      <c r="T5" s="38">
        <f>R5*S4</f>
        <v>0</v>
      </c>
      <c r="U5" s="40">
        <v>0</v>
      </c>
      <c r="V5" s="102"/>
      <c r="W5" s="38">
        <v>0</v>
      </c>
      <c r="X5" s="62">
        <f t="shared" si="0"/>
        <v>10286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49610</v>
      </c>
      <c r="I7" s="45">
        <v>5</v>
      </c>
      <c r="J7" s="102"/>
      <c r="K7" s="38">
        <f>I7*J4</f>
        <v>610</v>
      </c>
      <c r="L7" s="45">
        <v>14</v>
      </c>
      <c r="M7" s="102"/>
      <c r="N7" s="38">
        <f>L7*M4</f>
        <v>280</v>
      </c>
      <c r="O7" s="40">
        <v>5</v>
      </c>
      <c r="P7" s="102"/>
      <c r="Q7" s="38">
        <f>O7*P4</f>
        <v>200</v>
      </c>
      <c r="R7" s="40">
        <v>14</v>
      </c>
      <c r="S7" s="102"/>
      <c r="T7" s="38">
        <f>R7*S4</f>
        <v>0</v>
      </c>
      <c r="U7" s="40">
        <v>0</v>
      </c>
      <c r="V7" s="102"/>
      <c r="W7" s="38">
        <v>0</v>
      </c>
      <c r="X7" s="62">
        <f t="shared" si="0"/>
        <v>50700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9922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5681</v>
      </c>
      <c r="X8" s="62">
        <f>T8+Q8+N8+K8+H8+W8</f>
        <v>15603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7689.55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7689.55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156271.5</v>
      </c>
      <c r="I10" s="41">
        <f t="shared" si="2"/>
        <v>10</v>
      </c>
      <c r="J10" s="103"/>
      <c r="K10" s="41">
        <f t="shared" si="2"/>
        <v>1220</v>
      </c>
      <c r="L10" s="41">
        <f t="shared" si="2"/>
        <v>19</v>
      </c>
      <c r="M10" s="103"/>
      <c r="N10" s="41">
        <f t="shared" ref="N10:R10" si="3">SUM(N4:N9)</f>
        <v>380</v>
      </c>
      <c r="O10" s="41">
        <f t="shared" si="3"/>
        <v>10</v>
      </c>
      <c r="P10" s="103"/>
      <c r="Q10" s="41">
        <f t="shared" si="3"/>
        <v>400</v>
      </c>
      <c r="R10" s="41">
        <f t="shared" si="3"/>
        <v>19</v>
      </c>
      <c r="S10" s="103"/>
      <c r="T10" s="41">
        <f t="shared" ref="T10:W10" si="4">SUM(T4:T9)</f>
        <v>0</v>
      </c>
      <c r="U10" s="41">
        <f t="shared" si="4"/>
        <v>19</v>
      </c>
      <c r="V10" s="103"/>
      <c r="W10" s="41">
        <f t="shared" si="4"/>
        <v>5681</v>
      </c>
      <c r="X10" s="63">
        <f>T10+Q10+N10+K10+H10+W10</f>
        <v>163952.5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100</v>
      </c>
      <c r="E12" s="39" t="s">
        <v>25</v>
      </c>
      <c r="F12" s="40">
        <v>15.95</v>
      </c>
      <c r="G12" s="101">
        <f>B44</f>
        <v>4791</v>
      </c>
      <c r="H12" s="38">
        <f>F12*G12</f>
        <v>76416.45</v>
      </c>
      <c r="I12" s="46">
        <v>3</v>
      </c>
      <c r="J12" s="101">
        <f>E44</f>
        <v>133</v>
      </c>
      <c r="K12" s="38">
        <f>I12*J12</f>
        <v>399</v>
      </c>
      <c r="L12" s="46">
        <v>3</v>
      </c>
      <c r="M12" s="101">
        <f>F44</f>
        <v>22</v>
      </c>
      <c r="N12" s="38">
        <f>L12*M12</f>
        <v>66</v>
      </c>
      <c r="O12" s="46">
        <v>3</v>
      </c>
      <c r="P12" s="101">
        <f>H44</f>
        <v>50</v>
      </c>
      <c r="Q12" s="38">
        <f>O12*P12</f>
        <v>150</v>
      </c>
      <c r="R12" s="46">
        <v>3</v>
      </c>
      <c r="S12" s="101">
        <f>I44</f>
        <v>0</v>
      </c>
      <c r="T12" s="38">
        <f>R12*S12</f>
        <v>0</v>
      </c>
      <c r="U12" s="46">
        <v>0</v>
      </c>
      <c r="V12" s="101">
        <f>SUM(G44:I44)</f>
        <v>304</v>
      </c>
      <c r="W12" s="38">
        <v>0</v>
      </c>
      <c r="X12" s="62">
        <f t="shared" si="1"/>
        <v>77031.45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9582</v>
      </c>
      <c r="I13" s="40">
        <v>2</v>
      </c>
      <c r="J13" s="102"/>
      <c r="K13" s="38">
        <f>I13*J12</f>
        <v>266</v>
      </c>
      <c r="L13" s="40">
        <v>2</v>
      </c>
      <c r="M13" s="102"/>
      <c r="N13" s="38">
        <f>L13*M12</f>
        <v>44</v>
      </c>
      <c r="O13" s="40">
        <v>2</v>
      </c>
      <c r="P13" s="102"/>
      <c r="Q13" s="38">
        <f>O13*P12</f>
        <v>100</v>
      </c>
      <c r="R13" s="40">
        <v>2</v>
      </c>
      <c r="S13" s="102"/>
      <c r="T13" s="38">
        <f>R13*S12</f>
        <v>0</v>
      </c>
      <c r="U13" s="40">
        <v>0</v>
      </c>
      <c r="V13" s="102"/>
      <c r="W13" s="38">
        <v>0</v>
      </c>
      <c r="X13" s="62">
        <f t="shared" si="1"/>
        <v>9992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47910</v>
      </c>
      <c r="I15" s="40">
        <v>5</v>
      </c>
      <c r="J15" s="102"/>
      <c r="K15" s="38">
        <f>I15*J12</f>
        <v>665</v>
      </c>
      <c r="L15" s="40">
        <v>14</v>
      </c>
      <c r="M15" s="102"/>
      <c r="N15" s="38">
        <f>L15*M12</f>
        <v>308</v>
      </c>
      <c r="O15" s="40">
        <v>5</v>
      </c>
      <c r="P15" s="102"/>
      <c r="Q15" s="38">
        <f>O15*P12</f>
        <v>250</v>
      </c>
      <c r="R15" s="40">
        <v>14</v>
      </c>
      <c r="S15" s="102"/>
      <c r="T15" s="38">
        <f>R15*S12</f>
        <v>0</v>
      </c>
      <c r="U15" s="40">
        <v>0</v>
      </c>
      <c r="V15" s="102"/>
      <c r="W15" s="38">
        <v>0</v>
      </c>
      <c r="X15" s="62">
        <f t="shared" si="1"/>
        <v>49133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9582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5776</v>
      </c>
      <c r="X16" s="62">
        <f>T16+Q16+N16+K16+H16+W16</f>
        <v>15358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7426.05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7426.05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150916.5</v>
      </c>
      <c r="I18" s="41">
        <f t="shared" si="6"/>
        <v>10</v>
      </c>
      <c r="J18" s="103"/>
      <c r="K18" s="41">
        <f t="shared" si="6"/>
        <v>1330</v>
      </c>
      <c r="L18" s="41">
        <f t="shared" si="6"/>
        <v>19</v>
      </c>
      <c r="M18" s="103"/>
      <c r="N18" s="41">
        <f t="shared" ref="N18:R18" si="7">SUM(N12:N17)</f>
        <v>418</v>
      </c>
      <c r="O18" s="41">
        <f t="shared" si="7"/>
        <v>10</v>
      </c>
      <c r="P18" s="103"/>
      <c r="Q18" s="41">
        <f t="shared" si="7"/>
        <v>500</v>
      </c>
      <c r="R18" s="41">
        <f t="shared" si="7"/>
        <v>19</v>
      </c>
      <c r="S18" s="103"/>
      <c r="T18" s="41">
        <f t="shared" ref="T18:W18" si="8">SUM(T12:T17)</f>
        <v>0</v>
      </c>
      <c r="U18" s="41">
        <f t="shared" si="8"/>
        <v>19</v>
      </c>
      <c r="V18" s="103"/>
      <c r="W18" s="41">
        <f t="shared" si="8"/>
        <v>5776</v>
      </c>
      <c r="X18" s="63">
        <f>T18+Q18+N18+K18+H18+W18</f>
        <v>158940.5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100</v>
      </c>
      <c r="E20" s="39" t="s">
        <v>25</v>
      </c>
      <c r="F20" s="40">
        <v>15.95</v>
      </c>
      <c r="G20" s="101">
        <f>B45</f>
        <v>4822</v>
      </c>
      <c r="H20" s="38">
        <f>F20*G20</f>
        <v>76910.899999999994</v>
      </c>
      <c r="I20" s="46">
        <v>3</v>
      </c>
      <c r="J20" s="101">
        <f>E45</f>
        <v>150</v>
      </c>
      <c r="K20" s="38">
        <f>I20*J20</f>
        <v>450</v>
      </c>
      <c r="L20" s="46">
        <v>3</v>
      </c>
      <c r="M20" s="101">
        <f>F45</f>
        <v>39</v>
      </c>
      <c r="N20" s="38">
        <f>L20*M20</f>
        <v>117</v>
      </c>
      <c r="O20" s="46">
        <v>3</v>
      </c>
      <c r="P20" s="101">
        <f>H45</f>
        <v>60</v>
      </c>
      <c r="Q20" s="38">
        <f>O20*P20</f>
        <v>180</v>
      </c>
      <c r="R20" s="46">
        <v>3</v>
      </c>
      <c r="S20" s="101">
        <f>I45</f>
        <v>0</v>
      </c>
      <c r="T20" s="38">
        <f>R20*S20</f>
        <v>0</v>
      </c>
      <c r="U20" s="46">
        <v>0</v>
      </c>
      <c r="V20" s="101">
        <f>SUM((G45:I45))</f>
        <v>309</v>
      </c>
      <c r="W20" s="38">
        <v>0</v>
      </c>
      <c r="X20" s="62">
        <f t="shared" si="5"/>
        <v>77657.899999999994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9644</v>
      </c>
      <c r="I21" s="40">
        <v>2</v>
      </c>
      <c r="J21" s="102"/>
      <c r="K21" s="38">
        <f>I21*J20</f>
        <v>300</v>
      </c>
      <c r="L21" s="40">
        <v>2</v>
      </c>
      <c r="M21" s="102"/>
      <c r="N21" s="38">
        <f>L21*M20</f>
        <v>78</v>
      </c>
      <c r="O21" s="40">
        <v>2</v>
      </c>
      <c r="P21" s="102"/>
      <c r="Q21" s="38">
        <f>O21*P20</f>
        <v>120</v>
      </c>
      <c r="R21" s="40">
        <v>2</v>
      </c>
      <c r="S21" s="102"/>
      <c r="T21" s="38">
        <f>R21*S20</f>
        <v>0</v>
      </c>
      <c r="U21" s="40">
        <v>0</v>
      </c>
      <c r="V21" s="102"/>
      <c r="W21" s="38">
        <v>0</v>
      </c>
      <c r="X21" s="62">
        <f t="shared" si="5"/>
        <v>10142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48220</v>
      </c>
      <c r="I23" s="40">
        <v>5</v>
      </c>
      <c r="J23" s="102"/>
      <c r="K23" s="38">
        <f>I23*J20</f>
        <v>750</v>
      </c>
      <c r="L23" s="40">
        <v>14</v>
      </c>
      <c r="M23" s="102"/>
      <c r="N23" s="38">
        <f>L23*M20</f>
        <v>546</v>
      </c>
      <c r="O23" s="40">
        <v>5</v>
      </c>
      <c r="P23" s="102"/>
      <c r="Q23" s="38">
        <f>O23*P20</f>
        <v>300</v>
      </c>
      <c r="R23" s="40">
        <v>14</v>
      </c>
      <c r="S23" s="102"/>
      <c r="T23" s="38">
        <f>R23*S20</f>
        <v>0</v>
      </c>
      <c r="U23" s="40">
        <v>0</v>
      </c>
      <c r="V23" s="102"/>
      <c r="W23" s="38">
        <v>0</v>
      </c>
      <c r="X23" s="62">
        <f t="shared" si="5"/>
        <v>49816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9644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5871</v>
      </c>
      <c r="X24" s="62">
        <f>T24+Q24+N24+K24+H24+W24</f>
        <v>15515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7474.1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7474.1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151893</v>
      </c>
      <c r="I26" s="43">
        <f t="shared" si="9"/>
        <v>10</v>
      </c>
      <c r="J26" s="104"/>
      <c r="K26" s="43">
        <f t="shared" si="9"/>
        <v>1500</v>
      </c>
      <c r="L26" s="43">
        <f t="shared" si="9"/>
        <v>19</v>
      </c>
      <c r="M26" s="104"/>
      <c r="N26" s="43">
        <f t="shared" ref="N26:R26" si="10">SUM(N20:N25)</f>
        <v>741</v>
      </c>
      <c r="O26" s="43">
        <f t="shared" si="10"/>
        <v>10</v>
      </c>
      <c r="P26" s="104"/>
      <c r="Q26" s="43">
        <f t="shared" si="10"/>
        <v>600</v>
      </c>
      <c r="R26" s="43">
        <f t="shared" si="10"/>
        <v>19</v>
      </c>
      <c r="S26" s="104"/>
      <c r="T26" s="43">
        <f t="shared" ref="T26:W26" si="11">SUM(T20:T25)</f>
        <v>0</v>
      </c>
      <c r="U26" s="43">
        <f t="shared" si="11"/>
        <v>19</v>
      </c>
      <c r="V26" s="104"/>
      <c r="W26" s="43">
        <f t="shared" si="11"/>
        <v>5871</v>
      </c>
      <c r="X26" s="65">
        <f>T26+Q26+N26+K26+H26+W26</f>
        <v>160605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344567.89</v>
      </c>
      <c r="E31" s="22">
        <f t="shared" ref="E31:E34" si="12">X4</f>
        <v>79673.95</v>
      </c>
      <c r="F31" s="22">
        <f t="shared" ref="F31:F34" si="13">E31-D31</f>
        <v>-264893.94</v>
      </c>
      <c r="G31" s="22">
        <f t="shared" ref="G31:G34" si="14">X12</f>
        <v>77031.45</v>
      </c>
      <c r="H31" s="22">
        <f t="shared" ref="H31:H34" si="15">G31-D31</f>
        <v>-267536.44</v>
      </c>
      <c r="I31" s="22">
        <f t="shared" ref="I31:I34" si="16">X20</f>
        <v>77657.899999999994</v>
      </c>
      <c r="J31" s="50">
        <f t="shared" ref="J31:J34" si="17">I31-D31</f>
        <v>-266909.99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66789.009999999995</v>
      </c>
      <c r="E32" s="22">
        <f t="shared" si="12"/>
        <v>10286</v>
      </c>
      <c r="F32" s="22">
        <f t="shared" si="13"/>
        <v>-56503.01</v>
      </c>
      <c r="G32" s="22">
        <f t="shared" si="14"/>
        <v>9992</v>
      </c>
      <c r="H32" s="22">
        <f t="shared" si="15"/>
        <v>-56797.01</v>
      </c>
      <c r="I32" s="22">
        <f t="shared" si="16"/>
        <v>10142</v>
      </c>
      <c r="J32" s="50">
        <f t="shared" si="17"/>
        <v>-56647.01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313456.78000000003</v>
      </c>
      <c r="E33" s="22">
        <f>X7+X8</f>
        <v>66303</v>
      </c>
      <c r="F33" s="22">
        <f t="shared" si="13"/>
        <v>-247153.78</v>
      </c>
      <c r="G33" s="22">
        <f>X15+X16</f>
        <v>64491</v>
      </c>
      <c r="H33" s="22">
        <f t="shared" si="15"/>
        <v>-248965.78</v>
      </c>
      <c r="I33" s="22">
        <f>X23+X24</f>
        <v>65331</v>
      </c>
      <c r="J33" s="50">
        <f t="shared" si="17"/>
        <v>-248125.78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289248.07</v>
      </c>
      <c r="E34" s="22">
        <f t="shared" si="12"/>
        <v>50700</v>
      </c>
      <c r="F34" s="22">
        <f t="shared" si="13"/>
        <v>-238548.07</v>
      </c>
      <c r="G34" s="22">
        <f t="shared" si="14"/>
        <v>49133</v>
      </c>
      <c r="H34" s="22">
        <f t="shared" si="15"/>
        <v>-240115.07</v>
      </c>
      <c r="I34" s="22">
        <f t="shared" si="16"/>
        <v>49816</v>
      </c>
      <c r="J34" s="50">
        <f t="shared" si="17"/>
        <v>-239432.07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24208.71</v>
      </c>
      <c r="E35" s="22">
        <f t="shared" si="18"/>
        <v>15603</v>
      </c>
      <c r="F35" s="22">
        <f t="shared" si="18"/>
        <v>-8605.7100000000191</v>
      </c>
      <c r="G35" s="22">
        <f t="shared" si="18"/>
        <v>15358</v>
      </c>
      <c r="H35" s="22">
        <f t="shared" si="18"/>
        <v>-8850.7100000000191</v>
      </c>
      <c r="I35" s="22">
        <f t="shared" si="18"/>
        <v>15515</v>
      </c>
      <c r="J35" s="50">
        <f t="shared" si="18"/>
        <v>-8693.7100000000191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112141.21</v>
      </c>
      <c r="E36" s="22">
        <f>X9</f>
        <v>7689.55</v>
      </c>
      <c r="F36" s="22">
        <f>E36-D36</f>
        <v>-104451.66</v>
      </c>
      <c r="G36" s="22">
        <f>X17</f>
        <v>7426.05</v>
      </c>
      <c r="H36" s="22">
        <f>G36-D36</f>
        <v>-104715.16</v>
      </c>
      <c r="I36" s="22">
        <f>X25</f>
        <v>7474.1</v>
      </c>
      <c r="J36" s="50">
        <f>I36-D36</f>
        <v>-104667.11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836954.89</v>
      </c>
      <c r="E37" s="22">
        <f>X10</f>
        <v>163952.5</v>
      </c>
      <c r="F37" s="22">
        <f>E37-D37</f>
        <v>-673002.39</v>
      </c>
      <c r="G37" s="22">
        <f>X18</f>
        <v>158940.5</v>
      </c>
      <c r="H37" s="22">
        <f>G37-D37</f>
        <v>-678014.39</v>
      </c>
      <c r="I37" s="22">
        <f>X26</f>
        <v>160605</v>
      </c>
      <c r="J37" s="50">
        <f>I37-D37</f>
        <v>-676349.89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-634392.39</v>
      </c>
      <c r="G38" s="18"/>
      <c r="H38" s="22">
        <f>H37+C48+C49</f>
        <v>-639404.39</v>
      </c>
      <c r="I38" s="18"/>
      <c r="J38" s="50">
        <f>J37+C48+C49</f>
        <v>-637739.89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4961</v>
      </c>
      <c r="C43" s="21">
        <v>2560</v>
      </c>
      <c r="D43" s="25">
        <v>1960</v>
      </c>
      <c r="E43" s="21">
        <v>122</v>
      </c>
      <c r="F43" s="21">
        <v>20</v>
      </c>
      <c r="G43" s="21">
        <v>259</v>
      </c>
      <c r="H43" s="21">
        <v>40</v>
      </c>
      <c r="I43" s="52">
        <v>0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4791</v>
      </c>
      <c r="C44" s="21">
        <v>2482</v>
      </c>
      <c r="D44" s="25">
        <v>1850</v>
      </c>
      <c r="E44" s="21">
        <v>133</v>
      </c>
      <c r="F44" s="21">
        <v>22</v>
      </c>
      <c r="G44" s="21">
        <v>254</v>
      </c>
      <c r="H44" s="21">
        <v>50</v>
      </c>
      <c r="I44" s="52">
        <v>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4822</v>
      </c>
      <c r="C45" s="28">
        <v>2404</v>
      </c>
      <c r="D45" s="29">
        <v>1920</v>
      </c>
      <c r="E45" s="21">
        <v>150</v>
      </c>
      <c r="F45" s="21">
        <v>39</v>
      </c>
      <c r="G45" s="28">
        <v>249</v>
      </c>
      <c r="H45" s="28">
        <v>60</v>
      </c>
      <c r="I45" s="53">
        <v>0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13000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25610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55"/>
  <sheetViews>
    <sheetView zoomScale="60" zoomScaleNormal="60" workbookViewId="0">
      <selection activeCell="E1" sqref="E1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101</v>
      </c>
      <c r="C1" s="70"/>
      <c r="D1" s="70" t="s">
        <v>2</v>
      </c>
      <c r="E1" s="70" t="s">
        <v>102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100</v>
      </c>
      <c r="E4" s="39" t="s">
        <v>25</v>
      </c>
      <c r="F4" s="40">
        <v>15.95</v>
      </c>
      <c r="G4" s="101">
        <f>B43</f>
        <v>5819</v>
      </c>
      <c r="H4" s="38">
        <f>F4*G4</f>
        <v>92813.05</v>
      </c>
      <c r="I4" s="45">
        <v>3</v>
      </c>
      <c r="J4" s="101">
        <f>E43</f>
        <v>0</v>
      </c>
      <c r="K4" s="38">
        <f>I4*J4</f>
        <v>0</v>
      </c>
      <c r="L4" s="45">
        <v>3</v>
      </c>
      <c r="M4" s="101">
        <f>F43</f>
        <v>0</v>
      </c>
      <c r="N4" s="38">
        <f>L4*M4</f>
        <v>0</v>
      </c>
      <c r="O4" s="46">
        <v>3</v>
      </c>
      <c r="P4" s="101">
        <f>H43</f>
        <v>40</v>
      </c>
      <c r="Q4" s="38">
        <f>O4*P4</f>
        <v>120</v>
      </c>
      <c r="R4" s="46">
        <v>3</v>
      </c>
      <c r="S4" s="101">
        <f>I43</f>
        <v>0</v>
      </c>
      <c r="T4" s="38">
        <f>R4*S4</f>
        <v>0</v>
      </c>
      <c r="U4" s="46">
        <v>0</v>
      </c>
      <c r="V4" s="101">
        <f>SUM(G43:I43)</f>
        <v>299</v>
      </c>
      <c r="W4" s="38">
        <v>0</v>
      </c>
      <c r="X4" s="62">
        <f t="shared" ref="X4:X7" si="0">T4+Q4+N4+K4+H4</f>
        <v>92933.05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11638</v>
      </c>
      <c r="I5" s="45">
        <v>2</v>
      </c>
      <c r="J5" s="102"/>
      <c r="K5" s="38">
        <f>I5*J4</f>
        <v>0</v>
      </c>
      <c r="L5" s="45">
        <v>2</v>
      </c>
      <c r="M5" s="102"/>
      <c r="N5" s="38">
        <f>L5*M4</f>
        <v>0</v>
      </c>
      <c r="O5" s="40">
        <v>2</v>
      </c>
      <c r="P5" s="102"/>
      <c r="Q5" s="38">
        <f>O5*P4</f>
        <v>80</v>
      </c>
      <c r="R5" s="40">
        <v>2</v>
      </c>
      <c r="S5" s="102"/>
      <c r="T5" s="38">
        <f>R5*S4</f>
        <v>0</v>
      </c>
      <c r="U5" s="40">
        <v>0</v>
      </c>
      <c r="V5" s="102"/>
      <c r="W5" s="38">
        <v>0</v>
      </c>
      <c r="X5" s="62">
        <f t="shared" si="0"/>
        <v>11718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58190</v>
      </c>
      <c r="I7" s="45">
        <v>5</v>
      </c>
      <c r="J7" s="102"/>
      <c r="K7" s="38">
        <f>I7*J4</f>
        <v>0</v>
      </c>
      <c r="L7" s="45">
        <v>14</v>
      </c>
      <c r="M7" s="102"/>
      <c r="N7" s="38">
        <f>L7*M4</f>
        <v>0</v>
      </c>
      <c r="O7" s="40">
        <v>5</v>
      </c>
      <c r="P7" s="102"/>
      <c r="Q7" s="38">
        <f>O7*P4</f>
        <v>200</v>
      </c>
      <c r="R7" s="40">
        <v>14</v>
      </c>
      <c r="S7" s="102"/>
      <c r="T7" s="38">
        <f>R7*S4</f>
        <v>0</v>
      </c>
      <c r="U7" s="40">
        <v>0</v>
      </c>
      <c r="V7" s="102"/>
      <c r="W7" s="38">
        <v>0</v>
      </c>
      <c r="X7" s="62">
        <f t="shared" si="0"/>
        <v>58390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11638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5681</v>
      </c>
      <c r="X8" s="62">
        <f>T8+Q8+N8+K8+H8+W8</f>
        <v>17319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9019.4500000000007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9019.4500000000007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183298.5</v>
      </c>
      <c r="I10" s="41">
        <f t="shared" si="2"/>
        <v>10</v>
      </c>
      <c r="J10" s="103"/>
      <c r="K10" s="41">
        <f t="shared" si="2"/>
        <v>0</v>
      </c>
      <c r="L10" s="41">
        <f t="shared" si="2"/>
        <v>19</v>
      </c>
      <c r="M10" s="103"/>
      <c r="N10" s="41">
        <f t="shared" ref="N10:R10" si="3">SUM(N4:N9)</f>
        <v>0</v>
      </c>
      <c r="O10" s="41">
        <f t="shared" si="3"/>
        <v>10</v>
      </c>
      <c r="P10" s="103"/>
      <c r="Q10" s="41">
        <f t="shared" si="3"/>
        <v>400</v>
      </c>
      <c r="R10" s="41">
        <f t="shared" si="3"/>
        <v>19</v>
      </c>
      <c r="S10" s="103"/>
      <c r="T10" s="41">
        <f t="shared" ref="T10:W10" si="4">SUM(T4:T9)</f>
        <v>0</v>
      </c>
      <c r="U10" s="41">
        <f t="shared" si="4"/>
        <v>19</v>
      </c>
      <c r="V10" s="103"/>
      <c r="W10" s="41">
        <f t="shared" si="4"/>
        <v>5681</v>
      </c>
      <c r="X10" s="63">
        <f>T10+Q10+N10+K10+H10+W10</f>
        <v>189379.5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100</v>
      </c>
      <c r="E12" s="39" t="s">
        <v>25</v>
      </c>
      <c r="F12" s="40">
        <v>15.95</v>
      </c>
      <c r="G12" s="101">
        <f>B44</f>
        <v>6636</v>
      </c>
      <c r="H12" s="38">
        <f>F12*G12</f>
        <v>105844.2</v>
      </c>
      <c r="I12" s="46">
        <v>3</v>
      </c>
      <c r="J12" s="101">
        <f>E44</f>
        <v>0</v>
      </c>
      <c r="K12" s="38">
        <f>I12*J12</f>
        <v>0</v>
      </c>
      <c r="L12" s="46">
        <v>3</v>
      </c>
      <c r="M12" s="101">
        <f>F44</f>
        <v>0</v>
      </c>
      <c r="N12" s="38">
        <f>L12*M12</f>
        <v>0</v>
      </c>
      <c r="O12" s="46">
        <v>3</v>
      </c>
      <c r="P12" s="101">
        <f>H44</f>
        <v>50</v>
      </c>
      <c r="Q12" s="38">
        <f>O12*P12</f>
        <v>150</v>
      </c>
      <c r="R12" s="46">
        <v>3</v>
      </c>
      <c r="S12" s="101">
        <f>I44</f>
        <v>0</v>
      </c>
      <c r="T12" s="38">
        <f>R12*S12</f>
        <v>0</v>
      </c>
      <c r="U12" s="46">
        <v>0</v>
      </c>
      <c r="V12" s="101">
        <f>SUM(G44:I44)</f>
        <v>304</v>
      </c>
      <c r="W12" s="38">
        <v>0</v>
      </c>
      <c r="X12" s="62">
        <f t="shared" si="1"/>
        <v>105994.2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13272</v>
      </c>
      <c r="I13" s="40">
        <v>2</v>
      </c>
      <c r="J13" s="102"/>
      <c r="K13" s="38">
        <f>I13*J12</f>
        <v>0</v>
      </c>
      <c r="L13" s="40">
        <v>2</v>
      </c>
      <c r="M13" s="102"/>
      <c r="N13" s="38">
        <f>L13*M12</f>
        <v>0</v>
      </c>
      <c r="O13" s="40">
        <v>2</v>
      </c>
      <c r="P13" s="102"/>
      <c r="Q13" s="38">
        <f>O13*P12</f>
        <v>100</v>
      </c>
      <c r="R13" s="40">
        <v>2</v>
      </c>
      <c r="S13" s="102"/>
      <c r="T13" s="38">
        <f>R13*S12</f>
        <v>0</v>
      </c>
      <c r="U13" s="40">
        <v>0</v>
      </c>
      <c r="V13" s="102"/>
      <c r="W13" s="38">
        <v>0</v>
      </c>
      <c r="X13" s="62">
        <f t="shared" si="1"/>
        <v>13372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66360</v>
      </c>
      <c r="I15" s="40">
        <v>5</v>
      </c>
      <c r="J15" s="102"/>
      <c r="K15" s="38">
        <f>I15*J12</f>
        <v>0</v>
      </c>
      <c r="L15" s="40">
        <v>14</v>
      </c>
      <c r="M15" s="102"/>
      <c r="N15" s="38">
        <f>L15*M12</f>
        <v>0</v>
      </c>
      <c r="O15" s="40">
        <v>5</v>
      </c>
      <c r="P15" s="102"/>
      <c r="Q15" s="38">
        <f>O15*P12</f>
        <v>250</v>
      </c>
      <c r="R15" s="40">
        <v>14</v>
      </c>
      <c r="S15" s="102"/>
      <c r="T15" s="38">
        <f>R15*S12</f>
        <v>0</v>
      </c>
      <c r="U15" s="40">
        <v>0</v>
      </c>
      <c r="V15" s="102"/>
      <c r="W15" s="38">
        <v>0</v>
      </c>
      <c r="X15" s="62">
        <f t="shared" si="1"/>
        <v>66610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13272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5776</v>
      </c>
      <c r="X16" s="62">
        <f>T16+Q16+N16+K16+H16+W16</f>
        <v>19048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10285.799999999999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10285.799999999999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209034</v>
      </c>
      <c r="I18" s="41">
        <f t="shared" si="6"/>
        <v>10</v>
      </c>
      <c r="J18" s="103"/>
      <c r="K18" s="41">
        <f t="shared" si="6"/>
        <v>0</v>
      </c>
      <c r="L18" s="41">
        <f t="shared" si="6"/>
        <v>19</v>
      </c>
      <c r="M18" s="103"/>
      <c r="N18" s="41">
        <f t="shared" ref="N18:R18" si="7">SUM(N12:N17)</f>
        <v>0</v>
      </c>
      <c r="O18" s="41">
        <f t="shared" si="7"/>
        <v>10</v>
      </c>
      <c r="P18" s="103"/>
      <c r="Q18" s="41">
        <f t="shared" si="7"/>
        <v>500</v>
      </c>
      <c r="R18" s="41">
        <f t="shared" si="7"/>
        <v>19</v>
      </c>
      <c r="S18" s="103"/>
      <c r="T18" s="41">
        <f t="shared" ref="T18:W18" si="8">SUM(T12:T17)</f>
        <v>0</v>
      </c>
      <c r="U18" s="41">
        <f t="shared" si="8"/>
        <v>19</v>
      </c>
      <c r="V18" s="103"/>
      <c r="W18" s="41">
        <f t="shared" si="8"/>
        <v>5776</v>
      </c>
      <c r="X18" s="63">
        <f>T18+Q18+N18+K18+H18+W18</f>
        <v>215310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100</v>
      </c>
      <c r="E20" s="39" t="s">
        <v>25</v>
      </c>
      <c r="F20" s="40">
        <v>15.95</v>
      </c>
      <c r="G20" s="101">
        <f>B45</f>
        <v>7233</v>
      </c>
      <c r="H20" s="38">
        <f>F20*G20</f>
        <v>115366.35</v>
      </c>
      <c r="I20" s="46">
        <v>3</v>
      </c>
      <c r="J20" s="101">
        <f>E45</f>
        <v>0</v>
      </c>
      <c r="K20" s="38">
        <f>I20*J20</f>
        <v>0</v>
      </c>
      <c r="L20" s="46">
        <v>3</v>
      </c>
      <c r="M20" s="101">
        <f>F45</f>
        <v>0</v>
      </c>
      <c r="N20" s="38">
        <f>L20*M20</f>
        <v>0</v>
      </c>
      <c r="O20" s="46">
        <v>3</v>
      </c>
      <c r="P20" s="101">
        <f>H45</f>
        <v>60</v>
      </c>
      <c r="Q20" s="38">
        <f>O20*P20</f>
        <v>180</v>
      </c>
      <c r="R20" s="46">
        <v>3</v>
      </c>
      <c r="S20" s="101">
        <f>I45</f>
        <v>0</v>
      </c>
      <c r="T20" s="38">
        <f>R20*S20</f>
        <v>0</v>
      </c>
      <c r="U20" s="46">
        <v>0</v>
      </c>
      <c r="V20" s="101">
        <f>SUM((G45:I45))</f>
        <v>309</v>
      </c>
      <c r="W20" s="38">
        <v>0</v>
      </c>
      <c r="X20" s="62">
        <f t="shared" si="5"/>
        <v>115546.35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14466</v>
      </c>
      <c r="I21" s="40">
        <v>2</v>
      </c>
      <c r="J21" s="102"/>
      <c r="K21" s="38">
        <f>I21*J20</f>
        <v>0</v>
      </c>
      <c r="L21" s="40">
        <v>2</v>
      </c>
      <c r="M21" s="102"/>
      <c r="N21" s="38">
        <f>L21*M20</f>
        <v>0</v>
      </c>
      <c r="O21" s="40">
        <v>2</v>
      </c>
      <c r="P21" s="102"/>
      <c r="Q21" s="38">
        <f>O21*P20</f>
        <v>120</v>
      </c>
      <c r="R21" s="40">
        <v>2</v>
      </c>
      <c r="S21" s="102"/>
      <c r="T21" s="38">
        <f>R21*S20</f>
        <v>0</v>
      </c>
      <c r="U21" s="40">
        <v>0</v>
      </c>
      <c r="V21" s="102"/>
      <c r="W21" s="38">
        <v>0</v>
      </c>
      <c r="X21" s="62">
        <f t="shared" si="5"/>
        <v>14586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72330</v>
      </c>
      <c r="I23" s="40">
        <v>5</v>
      </c>
      <c r="J23" s="102"/>
      <c r="K23" s="38">
        <f>I23*J20</f>
        <v>0</v>
      </c>
      <c r="L23" s="40">
        <v>14</v>
      </c>
      <c r="M23" s="102"/>
      <c r="N23" s="38">
        <f>L23*M20</f>
        <v>0</v>
      </c>
      <c r="O23" s="40">
        <v>5</v>
      </c>
      <c r="P23" s="102"/>
      <c r="Q23" s="38">
        <f>O23*P20</f>
        <v>300</v>
      </c>
      <c r="R23" s="40">
        <v>14</v>
      </c>
      <c r="S23" s="102"/>
      <c r="T23" s="38">
        <f>R23*S20</f>
        <v>0</v>
      </c>
      <c r="U23" s="40">
        <v>0</v>
      </c>
      <c r="V23" s="102"/>
      <c r="W23" s="38">
        <v>0</v>
      </c>
      <c r="X23" s="62">
        <f t="shared" si="5"/>
        <v>72630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14466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5871</v>
      </c>
      <c r="X24" s="62">
        <f>T24+Q24+N24+K24+H24+W24</f>
        <v>20337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11211.15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11211.15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227839.5</v>
      </c>
      <c r="I26" s="43">
        <f t="shared" si="9"/>
        <v>10</v>
      </c>
      <c r="J26" s="104"/>
      <c r="K26" s="43">
        <f t="shared" si="9"/>
        <v>0</v>
      </c>
      <c r="L26" s="43">
        <f t="shared" si="9"/>
        <v>19</v>
      </c>
      <c r="M26" s="104"/>
      <c r="N26" s="43">
        <f t="shared" ref="N26:R26" si="10">SUM(N20:N25)</f>
        <v>0</v>
      </c>
      <c r="O26" s="43">
        <f t="shared" si="10"/>
        <v>10</v>
      </c>
      <c r="P26" s="104"/>
      <c r="Q26" s="43">
        <f t="shared" si="10"/>
        <v>600</v>
      </c>
      <c r="R26" s="43">
        <f t="shared" si="10"/>
        <v>19</v>
      </c>
      <c r="S26" s="104"/>
      <c r="T26" s="43">
        <f t="shared" ref="T26:W26" si="11">SUM(T20:T25)</f>
        <v>0</v>
      </c>
      <c r="U26" s="43">
        <f t="shared" si="11"/>
        <v>19</v>
      </c>
      <c r="V26" s="104"/>
      <c r="W26" s="43">
        <f t="shared" si="11"/>
        <v>5871</v>
      </c>
      <c r="X26" s="65">
        <f>T26+Q26+N26+K26+H26+W26</f>
        <v>234310.5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384321.09</v>
      </c>
      <c r="E31" s="22">
        <f t="shared" ref="E31:E34" si="12">X4</f>
        <v>92933.05</v>
      </c>
      <c r="F31" s="22">
        <f t="shared" ref="F31:F34" si="13">E31-D31</f>
        <v>-291388.03999999998</v>
      </c>
      <c r="G31" s="22">
        <f t="shared" ref="G31:G34" si="14">X12</f>
        <v>105994.2</v>
      </c>
      <c r="H31" s="22">
        <f t="shared" ref="H31:H34" si="15">G31-D31</f>
        <v>-278326.89</v>
      </c>
      <c r="I31" s="22">
        <f t="shared" ref="I31:I34" si="16">X20</f>
        <v>115546.35</v>
      </c>
      <c r="J31" s="50">
        <f t="shared" ref="J31:J34" si="17">I31-D31</f>
        <v>-268774.74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77654.320000000007</v>
      </c>
      <c r="E32" s="22">
        <f t="shared" si="12"/>
        <v>11718</v>
      </c>
      <c r="F32" s="22">
        <f t="shared" si="13"/>
        <v>-65936.320000000007</v>
      </c>
      <c r="G32" s="22">
        <f t="shared" si="14"/>
        <v>13372</v>
      </c>
      <c r="H32" s="22">
        <f t="shared" si="15"/>
        <v>-64282.32</v>
      </c>
      <c r="I32" s="22">
        <f t="shared" si="16"/>
        <v>14586</v>
      </c>
      <c r="J32" s="50">
        <f t="shared" si="17"/>
        <v>-63068.32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341234.56</v>
      </c>
      <c r="E33" s="22">
        <f>X7+X8</f>
        <v>75709</v>
      </c>
      <c r="F33" s="22">
        <f t="shared" si="13"/>
        <v>-265525.56</v>
      </c>
      <c r="G33" s="22">
        <f>X15+X16</f>
        <v>85658</v>
      </c>
      <c r="H33" s="22">
        <f t="shared" si="15"/>
        <v>-255576.56</v>
      </c>
      <c r="I33" s="22">
        <f>X23+X24</f>
        <v>92967</v>
      </c>
      <c r="J33" s="50">
        <f t="shared" si="17"/>
        <v>-248267.56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316008</v>
      </c>
      <c r="E34" s="22">
        <f t="shared" si="12"/>
        <v>58390</v>
      </c>
      <c r="F34" s="22">
        <f t="shared" si="13"/>
        <v>-257618</v>
      </c>
      <c r="G34" s="22">
        <f t="shared" si="14"/>
        <v>66610</v>
      </c>
      <c r="H34" s="22">
        <f t="shared" si="15"/>
        <v>-249398</v>
      </c>
      <c r="I34" s="22">
        <f t="shared" si="16"/>
        <v>72630</v>
      </c>
      <c r="J34" s="50">
        <f t="shared" si="17"/>
        <v>-243378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25226.560000000001</v>
      </c>
      <c r="E35" s="22">
        <f t="shared" si="18"/>
        <v>17319</v>
      </c>
      <c r="F35" s="22">
        <f t="shared" si="18"/>
        <v>-7907.56</v>
      </c>
      <c r="G35" s="22">
        <f t="shared" si="18"/>
        <v>19048</v>
      </c>
      <c r="H35" s="22">
        <f t="shared" si="18"/>
        <v>-6178.56</v>
      </c>
      <c r="I35" s="22">
        <f t="shared" si="18"/>
        <v>20337</v>
      </c>
      <c r="J35" s="50">
        <f t="shared" si="18"/>
        <v>-4889.5600000000004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12141.21</v>
      </c>
      <c r="E36" s="22">
        <f>X9</f>
        <v>9019.4500000000007</v>
      </c>
      <c r="F36" s="22">
        <f>E36-D36</f>
        <v>-3121.76</v>
      </c>
      <c r="G36" s="22">
        <f>X17</f>
        <v>10285.799999999999</v>
      </c>
      <c r="H36" s="22">
        <f>G36-D36</f>
        <v>-1855.41</v>
      </c>
      <c r="I36" s="22">
        <f>X25</f>
        <v>11211.15</v>
      </c>
      <c r="J36" s="50">
        <f>I36-D36</f>
        <v>-930.05999999999904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815351.18</v>
      </c>
      <c r="E37" s="22">
        <f>X10</f>
        <v>189379.5</v>
      </c>
      <c r="F37" s="22">
        <f>E37-D37</f>
        <v>-625971.68000000005</v>
      </c>
      <c r="G37" s="22">
        <f>X18</f>
        <v>215310</v>
      </c>
      <c r="H37" s="22">
        <f>G37-D37</f>
        <v>-600041.18000000005</v>
      </c>
      <c r="I37" s="22">
        <f>X26</f>
        <v>234310.5</v>
      </c>
      <c r="J37" s="50">
        <f>I37-D37</f>
        <v>-581040.68000000005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-587361.68000000005</v>
      </c>
      <c r="G38" s="18"/>
      <c r="H38" s="22">
        <f>H37+C48+C49</f>
        <v>-561431.18000000005</v>
      </c>
      <c r="I38" s="18"/>
      <c r="J38" s="50">
        <f>J37+C48+C49</f>
        <v>-542430.68000000005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5819</v>
      </c>
      <c r="C43" s="21">
        <v>3560</v>
      </c>
      <c r="D43" s="25">
        <v>1960</v>
      </c>
      <c r="E43" s="21">
        <v>0</v>
      </c>
      <c r="F43" s="21">
        <v>0</v>
      </c>
      <c r="G43" s="21">
        <v>259</v>
      </c>
      <c r="H43" s="21">
        <v>40</v>
      </c>
      <c r="I43" s="52">
        <v>0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6636</v>
      </c>
      <c r="C44" s="21">
        <v>4482</v>
      </c>
      <c r="D44" s="25">
        <v>1850</v>
      </c>
      <c r="E44" s="21">
        <v>0</v>
      </c>
      <c r="F44" s="21">
        <v>0</v>
      </c>
      <c r="G44" s="21">
        <v>254</v>
      </c>
      <c r="H44" s="21">
        <v>50</v>
      </c>
      <c r="I44" s="52">
        <v>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7233</v>
      </c>
      <c r="C45" s="28">
        <v>5004</v>
      </c>
      <c r="D45" s="29">
        <v>1920</v>
      </c>
      <c r="E45" s="21">
        <v>0</v>
      </c>
      <c r="F45" s="21">
        <v>0</v>
      </c>
      <c r="G45" s="28">
        <v>249</v>
      </c>
      <c r="H45" s="28">
        <v>60</v>
      </c>
      <c r="I45" s="53">
        <v>0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13000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25610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55"/>
  <sheetViews>
    <sheetView zoomScale="60" zoomScaleNormal="60" workbookViewId="0">
      <selection activeCell="F43" sqref="F43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103</v>
      </c>
      <c r="C1" s="70"/>
      <c r="D1" s="70" t="s">
        <v>2</v>
      </c>
      <c r="E1" s="70" t="s">
        <v>104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100</v>
      </c>
      <c r="E4" s="39" t="s">
        <v>25</v>
      </c>
      <c r="F4" s="40">
        <v>15.95</v>
      </c>
      <c r="G4" s="101">
        <f>B43</f>
        <v>63882</v>
      </c>
      <c r="H4" s="38">
        <f>F4*G4</f>
        <v>1018917.9</v>
      </c>
      <c r="I4" s="45">
        <v>3</v>
      </c>
      <c r="J4" s="101">
        <f>E43</f>
        <v>24012</v>
      </c>
      <c r="K4" s="38">
        <f>I4*J4</f>
        <v>72036</v>
      </c>
      <c r="L4" s="45">
        <v>3</v>
      </c>
      <c r="M4" s="101">
        <f>F43</f>
        <v>6765</v>
      </c>
      <c r="N4" s="38">
        <f>L4*M4</f>
        <v>20295</v>
      </c>
      <c r="O4" s="46">
        <v>3</v>
      </c>
      <c r="P4" s="101">
        <f>H43</f>
        <v>236</v>
      </c>
      <c r="Q4" s="38">
        <f>O4*P4</f>
        <v>708</v>
      </c>
      <c r="R4" s="46">
        <v>3</v>
      </c>
      <c r="S4" s="101">
        <f>I43</f>
        <v>252</v>
      </c>
      <c r="T4" s="38">
        <f>R4*S4</f>
        <v>756</v>
      </c>
      <c r="U4" s="46">
        <v>0</v>
      </c>
      <c r="V4" s="101">
        <f>SUM(G43:I43)</f>
        <v>748</v>
      </c>
      <c r="W4" s="38">
        <v>0</v>
      </c>
      <c r="X4" s="62">
        <f t="shared" ref="X4:X7" si="0">T4+Q4+N4+K4+H4</f>
        <v>1112712.8999999999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127764</v>
      </c>
      <c r="I5" s="45">
        <v>2</v>
      </c>
      <c r="J5" s="102"/>
      <c r="K5" s="38">
        <f>I5*J4</f>
        <v>48024</v>
      </c>
      <c r="L5" s="45">
        <v>2</v>
      </c>
      <c r="M5" s="102"/>
      <c r="N5" s="38">
        <f>L5*M4</f>
        <v>13530</v>
      </c>
      <c r="O5" s="40">
        <v>2</v>
      </c>
      <c r="P5" s="102"/>
      <c r="Q5" s="38">
        <f>O5*P4</f>
        <v>472</v>
      </c>
      <c r="R5" s="40">
        <v>2</v>
      </c>
      <c r="S5" s="102"/>
      <c r="T5" s="38">
        <f>R5*S4</f>
        <v>504</v>
      </c>
      <c r="U5" s="40">
        <v>0</v>
      </c>
      <c r="V5" s="102"/>
      <c r="W5" s="38">
        <v>0</v>
      </c>
      <c r="X5" s="62">
        <f t="shared" si="0"/>
        <v>190294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638820</v>
      </c>
      <c r="I7" s="45">
        <v>5</v>
      </c>
      <c r="J7" s="102"/>
      <c r="K7" s="38">
        <f>I7*J4</f>
        <v>120060</v>
      </c>
      <c r="L7" s="45">
        <v>14</v>
      </c>
      <c r="M7" s="102"/>
      <c r="N7" s="38">
        <f>L7*M4</f>
        <v>94710</v>
      </c>
      <c r="O7" s="40">
        <v>5</v>
      </c>
      <c r="P7" s="102"/>
      <c r="Q7" s="38">
        <f>O7*P4</f>
        <v>1180</v>
      </c>
      <c r="R7" s="40">
        <v>14</v>
      </c>
      <c r="S7" s="102"/>
      <c r="T7" s="38">
        <f>R7*S4</f>
        <v>3528</v>
      </c>
      <c r="U7" s="40">
        <v>0</v>
      </c>
      <c r="V7" s="102"/>
      <c r="W7" s="38">
        <v>0</v>
      </c>
      <c r="X7" s="62">
        <f t="shared" si="0"/>
        <v>858298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127764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14212</v>
      </c>
      <c r="X8" s="62">
        <f>T8+Q8+N8+K8+H8+W8</f>
        <v>141976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99017.1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99017.1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2012283</v>
      </c>
      <c r="I10" s="41">
        <f t="shared" si="2"/>
        <v>10</v>
      </c>
      <c r="J10" s="103"/>
      <c r="K10" s="41">
        <f t="shared" si="2"/>
        <v>240120</v>
      </c>
      <c r="L10" s="41">
        <f t="shared" si="2"/>
        <v>19</v>
      </c>
      <c r="M10" s="103"/>
      <c r="N10" s="41">
        <f t="shared" ref="N10:R10" si="3">SUM(N4:N9)</f>
        <v>128535</v>
      </c>
      <c r="O10" s="41">
        <f t="shared" si="3"/>
        <v>10</v>
      </c>
      <c r="P10" s="103"/>
      <c r="Q10" s="41">
        <f t="shared" si="3"/>
        <v>2360</v>
      </c>
      <c r="R10" s="41">
        <f t="shared" si="3"/>
        <v>19</v>
      </c>
      <c r="S10" s="103"/>
      <c r="T10" s="41">
        <f t="shared" ref="T10:W10" si="4">SUM(T4:T9)</f>
        <v>4788</v>
      </c>
      <c r="U10" s="41">
        <f t="shared" si="4"/>
        <v>19</v>
      </c>
      <c r="V10" s="103"/>
      <c r="W10" s="41">
        <f t="shared" si="4"/>
        <v>14212</v>
      </c>
      <c r="X10" s="63">
        <f>T10+Q10+N10+K10+H10+W10</f>
        <v>2402298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100</v>
      </c>
      <c r="E12" s="39" t="s">
        <v>25</v>
      </c>
      <c r="F12" s="40">
        <v>15.95</v>
      </c>
      <c r="G12" s="101">
        <f>B44</f>
        <v>62187</v>
      </c>
      <c r="H12" s="38">
        <f>F12*G12</f>
        <v>991882.65</v>
      </c>
      <c r="I12" s="46">
        <v>3</v>
      </c>
      <c r="J12" s="101">
        <f>E44</f>
        <v>23234</v>
      </c>
      <c r="K12" s="38">
        <f>I12*J12</f>
        <v>69702</v>
      </c>
      <c r="L12" s="46">
        <v>3</v>
      </c>
      <c r="M12" s="101">
        <f>F44</f>
        <v>6543</v>
      </c>
      <c r="N12" s="38">
        <f>L12*M12</f>
        <v>19629</v>
      </c>
      <c r="O12" s="46">
        <v>3</v>
      </c>
      <c r="P12" s="101">
        <f>H44</f>
        <v>229</v>
      </c>
      <c r="Q12" s="38">
        <f>O12*P12</f>
        <v>687</v>
      </c>
      <c r="R12" s="46">
        <v>3</v>
      </c>
      <c r="S12" s="101">
        <f>I44</f>
        <v>247</v>
      </c>
      <c r="T12" s="38">
        <f>R12*S12</f>
        <v>741</v>
      </c>
      <c r="U12" s="46">
        <v>0</v>
      </c>
      <c r="V12" s="101">
        <f>SUM(G44:I44)</f>
        <v>731</v>
      </c>
      <c r="W12" s="38">
        <v>0</v>
      </c>
      <c r="X12" s="62">
        <f t="shared" si="1"/>
        <v>1082641.6499999999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124374</v>
      </c>
      <c r="I13" s="40">
        <v>2</v>
      </c>
      <c r="J13" s="102"/>
      <c r="K13" s="38">
        <f>I13*J12</f>
        <v>46468</v>
      </c>
      <c r="L13" s="40">
        <v>2</v>
      </c>
      <c r="M13" s="102"/>
      <c r="N13" s="38">
        <f>L13*M12</f>
        <v>13086</v>
      </c>
      <c r="O13" s="40">
        <v>2</v>
      </c>
      <c r="P13" s="102"/>
      <c r="Q13" s="38">
        <f>O13*P12</f>
        <v>458</v>
      </c>
      <c r="R13" s="40">
        <v>2</v>
      </c>
      <c r="S13" s="102"/>
      <c r="T13" s="38">
        <f>R13*S12</f>
        <v>494</v>
      </c>
      <c r="U13" s="40">
        <v>0</v>
      </c>
      <c r="V13" s="102"/>
      <c r="W13" s="38">
        <v>0</v>
      </c>
      <c r="X13" s="62">
        <f t="shared" si="1"/>
        <v>184880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621870</v>
      </c>
      <c r="I15" s="40">
        <v>5</v>
      </c>
      <c r="J15" s="102"/>
      <c r="K15" s="38">
        <f>I15*J12</f>
        <v>116170</v>
      </c>
      <c r="L15" s="40">
        <v>14</v>
      </c>
      <c r="M15" s="102"/>
      <c r="N15" s="38">
        <f>L15*M12</f>
        <v>91602</v>
      </c>
      <c r="O15" s="40">
        <v>5</v>
      </c>
      <c r="P15" s="102"/>
      <c r="Q15" s="38">
        <f>O15*P12</f>
        <v>1145</v>
      </c>
      <c r="R15" s="40">
        <v>14</v>
      </c>
      <c r="S15" s="102"/>
      <c r="T15" s="38">
        <f>R15*S12</f>
        <v>3458</v>
      </c>
      <c r="U15" s="40">
        <v>0</v>
      </c>
      <c r="V15" s="102"/>
      <c r="W15" s="38">
        <v>0</v>
      </c>
      <c r="X15" s="62">
        <f t="shared" si="1"/>
        <v>834245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124374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13889</v>
      </c>
      <c r="X16" s="62">
        <f>T16+Q16+N16+K16+H16+W16</f>
        <v>138263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96389.85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96389.85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1958890.5</v>
      </c>
      <c r="I18" s="41">
        <f t="shared" si="6"/>
        <v>10</v>
      </c>
      <c r="J18" s="103"/>
      <c r="K18" s="41">
        <f t="shared" si="6"/>
        <v>232340</v>
      </c>
      <c r="L18" s="41">
        <f t="shared" si="6"/>
        <v>19</v>
      </c>
      <c r="M18" s="103"/>
      <c r="N18" s="41">
        <f t="shared" ref="N18:R18" si="7">SUM(N12:N17)</f>
        <v>124317</v>
      </c>
      <c r="O18" s="41">
        <f t="shared" si="7"/>
        <v>10</v>
      </c>
      <c r="P18" s="103"/>
      <c r="Q18" s="41">
        <f t="shared" si="7"/>
        <v>2290</v>
      </c>
      <c r="R18" s="41">
        <f t="shared" si="7"/>
        <v>19</v>
      </c>
      <c r="S18" s="103"/>
      <c r="T18" s="41">
        <f t="shared" ref="T18:W18" si="8">SUM(T12:T17)</f>
        <v>4693</v>
      </c>
      <c r="U18" s="41">
        <f t="shared" si="8"/>
        <v>19</v>
      </c>
      <c r="V18" s="103"/>
      <c r="W18" s="41">
        <f t="shared" si="8"/>
        <v>13889</v>
      </c>
      <c r="X18" s="63">
        <f>T18+Q18+N18+K18+H18+W18</f>
        <v>2336419.5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100</v>
      </c>
      <c r="E20" s="39" t="s">
        <v>25</v>
      </c>
      <c r="F20" s="40">
        <v>15.95</v>
      </c>
      <c r="G20" s="101">
        <f>B45</f>
        <v>68147</v>
      </c>
      <c r="H20" s="38">
        <f>F20*G20</f>
        <v>1086944.6499999999</v>
      </c>
      <c r="I20" s="46">
        <v>3</v>
      </c>
      <c r="J20" s="101">
        <f>E45</f>
        <v>25789</v>
      </c>
      <c r="K20" s="38">
        <f>I20*J20</f>
        <v>77367</v>
      </c>
      <c r="L20" s="46">
        <v>3</v>
      </c>
      <c r="M20" s="101">
        <f>F45</f>
        <v>7234</v>
      </c>
      <c r="N20" s="38">
        <f>L20*M20</f>
        <v>21702</v>
      </c>
      <c r="O20" s="46">
        <v>3</v>
      </c>
      <c r="P20" s="101">
        <f>H45</f>
        <v>251</v>
      </c>
      <c r="Q20" s="38">
        <f>O20*P20</f>
        <v>753</v>
      </c>
      <c r="R20" s="46">
        <v>3</v>
      </c>
      <c r="S20" s="101">
        <f>I45</f>
        <v>266</v>
      </c>
      <c r="T20" s="38">
        <f>R20*S20</f>
        <v>798</v>
      </c>
      <c r="U20" s="46">
        <v>0</v>
      </c>
      <c r="V20" s="101">
        <f>SUM((G45:I45))</f>
        <v>792</v>
      </c>
      <c r="W20" s="38">
        <v>0</v>
      </c>
      <c r="X20" s="62">
        <f t="shared" si="5"/>
        <v>1187564.6499999999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136294</v>
      </c>
      <c r="I21" s="40">
        <v>2</v>
      </c>
      <c r="J21" s="102"/>
      <c r="K21" s="38">
        <f>I21*J20</f>
        <v>51578</v>
      </c>
      <c r="L21" s="40">
        <v>2</v>
      </c>
      <c r="M21" s="102"/>
      <c r="N21" s="38">
        <f>L21*M20</f>
        <v>14468</v>
      </c>
      <c r="O21" s="40">
        <v>2</v>
      </c>
      <c r="P21" s="102"/>
      <c r="Q21" s="38">
        <f>O21*P20</f>
        <v>502</v>
      </c>
      <c r="R21" s="40">
        <v>2</v>
      </c>
      <c r="S21" s="102"/>
      <c r="T21" s="38">
        <f>R21*S20</f>
        <v>532</v>
      </c>
      <c r="U21" s="40">
        <v>0</v>
      </c>
      <c r="V21" s="102"/>
      <c r="W21" s="38">
        <v>0</v>
      </c>
      <c r="X21" s="62">
        <f t="shared" si="5"/>
        <v>203374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681470</v>
      </c>
      <c r="I23" s="40">
        <v>5</v>
      </c>
      <c r="J23" s="102"/>
      <c r="K23" s="38">
        <f>I23*J20</f>
        <v>128945</v>
      </c>
      <c r="L23" s="40">
        <v>14</v>
      </c>
      <c r="M23" s="102"/>
      <c r="N23" s="38">
        <f>L23*M20</f>
        <v>101276</v>
      </c>
      <c r="O23" s="40">
        <v>5</v>
      </c>
      <c r="P23" s="102"/>
      <c r="Q23" s="38">
        <f>O23*P20</f>
        <v>1255</v>
      </c>
      <c r="R23" s="40">
        <v>14</v>
      </c>
      <c r="S23" s="102"/>
      <c r="T23" s="38">
        <f>R23*S20</f>
        <v>3724</v>
      </c>
      <c r="U23" s="40">
        <v>0</v>
      </c>
      <c r="V23" s="102"/>
      <c r="W23" s="38">
        <v>0</v>
      </c>
      <c r="X23" s="62">
        <f t="shared" si="5"/>
        <v>916670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136294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15048</v>
      </c>
      <c r="X24" s="62">
        <f>T24+Q24+N24+K24+H24+W24</f>
        <v>151342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105627.85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105627.85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2146630.5</v>
      </c>
      <c r="I26" s="43">
        <f t="shared" si="9"/>
        <v>10</v>
      </c>
      <c r="J26" s="104"/>
      <c r="K26" s="43">
        <f t="shared" si="9"/>
        <v>257890</v>
      </c>
      <c r="L26" s="43">
        <f t="shared" si="9"/>
        <v>19</v>
      </c>
      <c r="M26" s="104"/>
      <c r="N26" s="43">
        <f t="shared" ref="N26:R26" si="10">SUM(N20:N25)</f>
        <v>137446</v>
      </c>
      <c r="O26" s="43">
        <f t="shared" si="10"/>
        <v>10</v>
      </c>
      <c r="P26" s="104"/>
      <c r="Q26" s="43">
        <f t="shared" si="10"/>
        <v>2510</v>
      </c>
      <c r="R26" s="43">
        <f t="shared" si="10"/>
        <v>19</v>
      </c>
      <c r="S26" s="104"/>
      <c r="T26" s="43">
        <f t="shared" ref="T26:W26" si="11">SUM(T20:T25)</f>
        <v>5054</v>
      </c>
      <c r="U26" s="43">
        <f t="shared" si="11"/>
        <v>19</v>
      </c>
      <c r="V26" s="104"/>
      <c r="W26" s="43">
        <f t="shared" si="11"/>
        <v>15048</v>
      </c>
      <c r="X26" s="65">
        <f>T26+Q26+N26+K26+H26+W26</f>
        <v>2564578.5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324321.09000000003</v>
      </c>
      <c r="E31" s="22">
        <f t="shared" ref="E31:E34" si="12">X4</f>
        <v>1112712.8999999999</v>
      </c>
      <c r="F31" s="22">
        <f t="shared" ref="F31:F34" si="13">E31-D31</f>
        <v>788391.81</v>
      </c>
      <c r="G31" s="22">
        <f t="shared" ref="G31:G34" si="14">X12</f>
        <v>1082641.6499999999</v>
      </c>
      <c r="H31" s="22">
        <f t="shared" ref="H31:H34" si="15">G31-D31</f>
        <v>758320.56</v>
      </c>
      <c r="I31" s="22">
        <f t="shared" ref="I31:I34" si="16">X20</f>
        <v>1187564.6499999999</v>
      </c>
      <c r="J31" s="50">
        <f t="shared" ref="J31:J34" si="17">I31-D31</f>
        <v>863243.56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64321.09</v>
      </c>
      <c r="E32" s="22">
        <f t="shared" si="12"/>
        <v>190294</v>
      </c>
      <c r="F32" s="22">
        <f t="shared" si="13"/>
        <v>125972.91</v>
      </c>
      <c r="G32" s="22">
        <f t="shared" si="14"/>
        <v>184880</v>
      </c>
      <c r="H32" s="22">
        <f t="shared" si="15"/>
        <v>120558.91</v>
      </c>
      <c r="I32" s="22">
        <f t="shared" si="16"/>
        <v>203374</v>
      </c>
      <c r="J32" s="50">
        <f t="shared" si="17"/>
        <v>139052.91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304321.09000000003</v>
      </c>
      <c r="E33" s="22">
        <f>X7+X8</f>
        <v>1000274</v>
      </c>
      <c r="F33" s="22">
        <f t="shared" si="13"/>
        <v>695952.91</v>
      </c>
      <c r="G33" s="22">
        <f>X15+X16</f>
        <v>972508</v>
      </c>
      <c r="H33" s="22">
        <f t="shared" si="15"/>
        <v>668186.91</v>
      </c>
      <c r="I33" s="22">
        <f>X23+X24</f>
        <v>1068012</v>
      </c>
      <c r="J33" s="50">
        <f t="shared" si="17"/>
        <v>763690.91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278672.93</v>
      </c>
      <c r="E34" s="22">
        <f t="shared" si="12"/>
        <v>858298</v>
      </c>
      <c r="F34" s="22">
        <f t="shared" si="13"/>
        <v>579625.06999999995</v>
      </c>
      <c r="G34" s="22">
        <f t="shared" si="14"/>
        <v>834245</v>
      </c>
      <c r="H34" s="22">
        <f t="shared" si="15"/>
        <v>555572.06999999995</v>
      </c>
      <c r="I34" s="22">
        <f t="shared" si="16"/>
        <v>916670</v>
      </c>
      <c r="J34" s="50">
        <f t="shared" si="17"/>
        <v>637997.06999999995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25648.16</v>
      </c>
      <c r="E35" s="22">
        <f t="shared" si="18"/>
        <v>141976</v>
      </c>
      <c r="F35" s="22">
        <f t="shared" si="18"/>
        <v>116327.84</v>
      </c>
      <c r="G35" s="22">
        <f t="shared" si="18"/>
        <v>138263</v>
      </c>
      <c r="H35" s="22">
        <f t="shared" si="18"/>
        <v>112614.84</v>
      </c>
      <c r="I35" s="22">
        <f t="shared" si="18"/>
        <v>151342</v>
      </c>
      <c r="J35" s="50">
        <f t="shared" si="18"/>
        <v>125693.84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222141.21</v>
      </c>
      <c r="E36" s="22">
        <f>X9</f>
        <v>99017.1</v>
      </c>
      <c r="F36" s="22">
        <f>E36-D36</f>
        <v>-123124.11</v>
      </c>
      <c r="G36" s="22">
        <f>X17</f>
        <v>96389.85</v>
      </c>
      <c r="H36" s="22">
        <f>G36-D36</f>
        <v>-125751.36</v>
      </c>
      <c r="I36" s="22">
        <f>X25</f>
        <v>105627.85</v>
      </c>
      <c r="J36" s="50">
        <f>I36-D36</f>
        <v>-116513.36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915104.48</v>
      </c>
      <c r="E37" s="22">
        <f>X10</f>
        <v>2402298</v>
      </c>
      <c r="F37" s="22">
        <f>E37-D37</f>
        <v>1487193.52</v>
      </c>
      <c r="G37" s="22">
        <f>X18</f>
        <v>2336419.5</v>
      </c>
      <c r="H37" s="22">
        <f>G37-D37</f>
        <v>1421315.02</v>
      </c>
      <c r="I37" s="22">
        <f>X26</f>
        <v>2564578.5</v>
      </c>
      <c r="J37" s="50">
        <f>I37-D37</f>
        <v>1649474.02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1525803.52</v>
      </c>
      <c r="G38" s="18"/>
      <c r="H38" s="22">
        <f>H37+C48+C49</f>
        <v>1459925.02</v>
      </c>
      <c r="I38" s="18"/>
      <c r="J38" s="50">
        <f>J37+C48+C49</f>
        <v>1688084.02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63882</v>
      </c>
      <c r="C43" s="21">
        <v>6790</v>
      </c>
      <c r="D43" s="25">
        <v>25567</v>
      </c>
      <c r="E43" s="21">
        <v>24012</v>
      </c>
      <c r="F43" s="21">
        <v>6765</v>
      </c>
      <c r="G43" s="21">
        <v>260</v>
      </c>
      <c r="H43" s="21">
        <v>236</v>
      </c>
      <c r="I43" s="52">
        <v>252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62187</v>
      </c>
      <c r="C44" s="21">
        <v>6890</v>
      </c>
      <c r="D44" s="25">
        <v>24789</v>
      </c>
      <c r="E44" s="21">
        <v>23234</v>
      </c>
      <c r="F44" s="21">
        <v>6543</v>
      </c>
      <c r="G44" s="21">
        <v>255</v>
      </c>
      <c r="H44" s="21">
        <v>229</v>
      </c>
      <c r="I44" s="52">
        <v>247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68147</v>
      </c>
      <c r="C45" s="28">
        <v>6678</v>
      </c>
      <c r="D45" s="29">
        <v>27654</v>
      </c>
      <c r="E45" s="21">
        <v>25789</v>
      </c>
      <c r="F45" s="21">
        <v>7234</v>
      </c>
      <c r="G45" s="28">
        <v>275</v>
      </c>
      <c r="H45" s="28">
        <v>251</v>
      </c>
      <c r="I45" s="53">
        <v>266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13000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25610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55"/>
  <sheetViews>
    <sheetView topLeftCell="A10" zoomScale="60" zoomScaleNormal="60" workbookViewId="0">
      <selection activeCell="E49" sqref="E49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105</v>
      </c>
      <c r="C1" s="70"/>
      <c r="D1" s="70" t="s">
        <v>2</v>
      </c>
      <c r="E1" s="70" t="s">
        <v>106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100</v>
      </c>
      <c r="E4" s="39" t="s">
        <v>25</v>
      </c>
      <c r="F4" s="40">
        <v>15.95</v>
      </c>
      <c r="G4" s="101">
        <f>B43</f>
        <v>63962</v>
      </c>
      <c r="H4" s="38">
        <f>F4*G4</f>
        <v>1020193.9</v>
      </c>
      <c r="I4" s="45">
        <v>3</v>
      </c>
      <c r="J4" s="101">
        <f>E43</f>
        <v>22823</v>
      </c>
      <c r="K4" s="38">
        <f>I4*J4</f>
        <v>68469</v>
      </c>
      <c r="L4" s="45">
        <v>3</v>
      </c>
      <c r="M4" s="101">
        <f>F43</f>
        <v>6678</v>
      </c>
      <c r="N4" s="38">
        <f>L4*M4</f>
        <v>20034</v>
      </c>
      <c r="O4" s="46">
        <v>3</v>
      </c>
      <c r="P4" s="101">
        <f>H43</f>
        <v>233</v>
      </c>
      <c r="Q4" s="38">
        <f>O4*P4</f>
        <v>699</v>
      </c>
      <c r="R4" s="46">
        <v>3</v>
      </c>
      <c r="S4" s="101">
        <f>I43</f>
        <v>250</v>
      </c>
      <c r="T4" s="38">
        <f>R4*S4</f>
        <v>750</v>
      </c>
      <c r="U4" s="46">
        <v>0</v>
      </c>
      <c r="V4" s="101">
        <f>SUM(G43:I43)</f>
        <v>737</v>
      </c>
      <c r="W4" s="38">
        <v>0</v>
      </c>
      <c r="X4" s="62">
        <f t="shared" ref="X4:X7" si="0">T4+Q4+N4+K4+H4</f>
        <v>1110145.8999999999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127924</v>
      </c>
      <c r="I5" s="45">
        <v>2</v>
      </c>
      <c r="J5" s="102"/>
      <c r="K5" s="38">
        <f>I5*J4</f>
        <v>45646</v>
      </c>
      <c r="L5" s="45">
        <v>2</v>
      </c>
      <c r="M5" s="102"/>
      <c r="N5" s="38">
        <f>L5*M4</f>
        <v>13356</v>
      </c>
      <c r="O5" s="40">
        <v>2</v>
      </c>
      <c r="P5" s="102"/>
      <c r="Q5" s="38">
        <f>O5*P4</f>
        <v>466</v>
      </c>
      <c r="R5" s="40">
        <v>2</v>
      </c>
      <c r="S5" s="102"/>
      <c r="T5" s="38">
        <f>R5*S4</f>
        <v>500</v>
      </c>
      <c r="U5" s="40">
        <v>0</v>
      </c>
      <c r="V5" s="102"/>
      <c r="W5" s="38">
        <v>0</v>
      </c>
      <c r="X5" s="62">
        <f t="shared" si="0"/>
        <v>187892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639620</v>
      </c>
      <c r="I7" s="45">
        <v>5</v>
      </c>
      <c r="J7" s="102"/>
      <c r="K7" s="38">
        <f>I7*J4</f>
        <v>114115</v>
      </c>
      <c r="L7" s="45">
        <v>14</v>
      </c>
      <c r="M7" s="102"/>
      <c r="N7" s="38">
        <f>L7*M4</f>
        <v>93492</v>
      </c>
      <c r="O7" s="40">
        <v>5</v>
      </c>
      <c r="P7" s="102"/>
      <c r="Q7" s="38">
        <f>O7*P4</f>
        <v>1165</v>
      </c>
      <c r="R7" s="40">
        <v>14</v>
      </c>
      <c r="S7" s="102"/>
      <c r="T7" s="38">
        <f>R7*S4</f>
        <v>3500</v>
      </c>
      <c r="U7" s="40">
        <v>0</v>
      </c>
      <c r="V7" s="102"/>
      <c r="W7" s="38">
        <v>0</v>
      </c>
      <c r="X7" s="62">
        <f t="shared" si="0"/>
        <v>851892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127924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14003</v>
      </c>
      <c r="X8" s="62">
        <f>T8+Q8+N8+K8+H8+W8</f>
        <v>141927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99141.1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99141.1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2014803</v>
      </c>
      <c r="I10" s="41">
        <f t="shared" si="2"/>
        <v>10</v>
      </c>
      <c r="J10" s="103"/>
      <c r="K10" s="41">
        <f t="shared" si="2"/>
        <v>228230</v>
      </c>
      <c r="L10" s="41">
        <f t="shared" si="2"/>
        <v>19</v>
      </c>
      <c r="M10" s="103"/>
      <c r="N10" s="41">
        <f t="shared" ref="N10:R10" si="3">SUM(N4:N9)</f>
        <v>126882</v>
      </c>
      <c r="O10" s="41">
        <f t="shared" si="3"/>
        <v>10</v>
      </c>
      <c r="P10" s="103"/>
      <c r="Q10" s="41">
        <f t="shared" si="3"/>
        <v>2330</v>
      </c>
      <c r="R10" s="41">
        <f t="shared" si="3"/>
        <v>19</v>
      </c>
      <c r="S10" s="103"/>
      <c r="T10" s="41">
        <f t="shared" ref="T10:W10" si="4">SUM(T4:T9)</f>
        <v>4750</v>
      </c>
      <c r="U10" s="41">
        <f t="shared" si="4"/>
        <v>19</v>
      </c>
      <c r="V10" s="103"/>
      <c r="W10" s="41">
        <f t="shared" si="4"/>
        <v>14003</v>
      </c>
      <c r="X10" s="63">
        <f>T10+Q10+N10+K10+H10+W10</f>
        <v>2390998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100</v>
      </c>
      <c r="E12" s="39" t="s">
        <v>25</v>
      </c>
      <c r="F12" s="40">
        <v>15.95</v>
      </c>
      <c r="G12" s="101">
        <f>B44</f>
        <v>61944</v>
      </c>
      <c r="H12" s="38">
        <f>F12*G12</f>
        <v>988006.8</v>
      </c>
      <c r="I12" s="46">
        <v>3</v>
      </c>
      <c r="J12" s="101">
        <f>E44</f>
        <v>22045</v>
      </c>
      <c r="K12" s="38">
        <f>I12*J12</f>
        <v>66135</v>
      </c>
      <c r="L12" s="46">
        <v>3</v>
      </c>
      <c r="M12" s="101">
        <f>F44</f>
        <v>6456</v>
      </c>
      <c r="N12" s="38">
        <f>L12*M12</f>
        <v>19368</v>
      </c>
      <c r="O12" s="46">
        <v>3</v>
      </c>
      <c r="P12" s="101">
        <f>H44</f>
        <v>226</v>
      </c>
      <c r="Q12" s="38">
        <f>O12*P12</f>
        <v>678</v>
      </c>
      <c r="R12" s="46">
        <v>3</v>
      </c>
      <c r="S12" s="101">
        <f>I44</f>
        <v>245</v>
      </c>
      <c r="T12" s="38">
        <f>R12*S12</f>
        <v>735</v>
      </c>
      <c r="U12" s="46">
        <v>0</v>
      </c>
      <c r="V12" s="101">
        <f>SUM(G44:I44)</f>
        <v>720</v>
      </c>
      <c r="W12" s="38">
        <v>0</v>
      </c>
      <c r="X12" s="62">
        <f t="shared" si="1"/>
        <v>1074922.8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123888</v>
      </c>
      <c r="I13" s="40">
        <v>2</v>
      </c>
      <c r="J13" s="102"/>
      <c r="K13" s="38">
        <f>I13*J12</f>
        <v>44090</v>
      </c>
      <c r="L13" s="40">
        <v>2</v>
      </c>
      <c r="M13" s="102"/>
      <c r="N13" s="38">
        <f>L13*M12</f>
        <v>12912</v>
      </c>
      <c r="O13" s="40">
        <v>2</v>
      </c>
      <c r="P13" s="102"/>
      <c r="Q13" s="38">
        <f>O13*P12</f>
        <v>452</v>
      </c>
      <c r="R13" s="40">
        <v>2</v>
      </c>
      <c r="S13" s="102"/>
      <c r="T13" s="38">
        <f>R13*S12</f>
        <v>490</v>
      </c>
      <c r="U13" s="40">
        <v>0</v>
      </c>
      <c r="V13" s="102"/>
      <c r="W13" s="38">
        <v>0</v>
      </c>
      <c r="X13" s="62">
        <f t="shared" si="1"/>
        <v>181832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619440</v>
      </c>
      <c r="I15" s="40">
        <v>5</v>
      </c>
      <c r="J15" s="102"/>
      <c r="K15" s="38">
        <f>I15*J12</f>
        <v>110225</v>
      </c>
      <c r="L15" s="40">
        <v>14</v>
      </c>
      <c r="M15" s="102"/>
      <c r="N15" s="38">
        <f>L15*M12</f>
        <v>90384</v>
      </c>
      <c r="O15" s="40">
        <v>5</v>
      </c>
      <c r="P15" s="102"/>
      <c r="Q15" s="38">
        <f>O15*P12</f>
        <v>1130</v>
      </c>
      <c r="R15" s="40">
        <v>14</v>
      </c>
      <c r="S15" s="102"/>
      <c r="T15" s="38">
        <f>R15*S12</f>
        <v>3430</v>
      </c>
      <c r="U15" s="40">
        <v>0</v>
      </c>
      <c r="V15" s="102"/>
      <c r="W15" s="38">
        <v>0</v>
      </c>
      <c r="X15" s="62">
        <f t="shared" si="1"/>
        <v>824609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123888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13680</v>
      </c>
      <c r="X16" s="62">
        <f>T16+Q16+N16+K16+H16+W16</f>
        <v>137568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96013.2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96013.2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1951236</v>
      </c>
      <c r="I18" s="41">
        <f t="shared" si="6"/>
        <v>10</v>
      </c>
      <c r="J18" s="103"/>
      <c r="K18" s="41">
        <f t="shared" si="6"/>
        <v>220450</v>
      </c>
      <c r="L18" s="41">
        <f t="shared" si="6"/>
        <v>19</v>
      </c>
      <c r="M18" s="103"/>
      <c r="N18" s="41">
        <f t="shared" ref="N18:R18" si="7">SUM(N12:N17)</f>
        <v>122664</v>
      </c>
      <c r="O18" s="41">
        <f t="shared" si="7"/>
        <v>10</v>
      </c>
      <c r="P18" s="103"/>
      <c r="Q18" s="41">
        <f t="shared" si="7"/>
        <v>2260</v>
      </c>
      <c r="R18" s="41">
        <f t="shared" si="7"/>
        <v>19</v>
      </c>
      <c r="S18" s="103"/>
      <c r="T18" s="41">
        <f t="shared" ref="T18:W18" si="8">SUM(T12:T17)</f>
        <v>4655</v>
      </c>
      <c r="U18" s="41">
        <f t="shared" si="8"/>
        <v>19</v>
      </c>
      <c r="V18" s="103"/>
      <c r="W18" s="41">
        <f t="shared" si="8"/>
        <v>13680</v>
      </c>
      <c r="X18" s="63">
        <f>T18+Q18+N18+K18+H18+W18</f>
        <v>2314945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100</v>
      </c>
      <c r="E20" s="39" t="s">
        <v>25</v>
      </c>
      <c r="F20" s="40">
        <v>15.95</v>
      </c>
      <c r="G20" s="101">
        <f>B45</f>
        <v>67881</v>
      </c>
      <c r="H20" s="38">
        <f>F20*G20</f>
        <v>1082701.95</v>
      </c>
      <c r="I20" s="46">
        <v>3</v>
      </c>
      <c r="J20" s="101">
        <f>E45</f>
        <v>24714</v>
      </c>
      <c r="K20" s="38">
        <f>I20*J20</f>
        <v>74142</v>
      </c>
      <c r="L20" s="46">
        <v>3</v>
      </c>
      <c r="M20" s="101">
        <f>F45</f>
        <v>7123</v>
      </c>
      <c r="N20" s="38">
        <f>L20*M20</f>
        <v>21369</v>
      </c>
      <c r="O20" s="46">
        <v>3</v>
      </c>
      <c r="P20" s="101">
        <f>H45</f>
        <v>246</v>
      </c>
      <c r="Q20" s="38">
        <f>O20*P20</f>
        <v>738</v>
      </c>
      <c r="R20" s="46">
        <v>3</v>
      </c>
      <c r="S20" s="101">
        <f>I45</f>
        <v>259</v>
      </c>
      <c r="T20" s="38">
        <f>R20*S20</f>
        <v>777</v>
      </c>
      <c r="U20" s="46">
        <v>0</v>
      </c>
      <c r="V20" s="101">
        <f>SUM((G45:I45))</f>
        <v>774</v>
      </c>
      <c r="W20" s="38">
        <v>0</v>
      </c>
      <c r="X20" s="62">
        <f t="shared" si="5"/>
        <v>1179727.95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135762</v>
      </c>
      <c r="I21" s="40">
        <v>2</v>
      </c>
      <c r="J21" s="102"/>
      <c r="K21" s="38">
        <f>I21*J20</f>
        <v>49428</v>
      </c>
      <c r="L21" s="40">
        <v>2</v>
      </c>
      <c r="M21" s="102"/>
      <c r="N21" s="38">
        <f>L21*M20</f>
        <v>14246</v>
      </c>
      <c r="O21" s="40">
        <v>2</v>
      </c>
      <c r="P21" s="102"/>
      <c r="Q21" s="38">
        <f>O21*P20</f>
        <v>492</v>
      </c>
      <c r="R21" s="40">
        <v>2</v>
      </c>
      <c r="S21" s="102"/>
      <c r="T21" s="38">
        <f>R21*S20</f>
        <v>518</v>
      </c>
      <c r="U21" s="40">
        <v>0</v>
      </c>
      <c r="V21" s="102"/>
      <c r="W21" s="38">
        <v>0</v>
      </c>
      <c r="X21" s="62">
        <f t="shared" si="5"/>
        <v>200446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678810</v>
      </c>
      <c r="I23" s="40">
        <v>5</v>
      </c>
      <c r="J23" s="102"/>
      <c r="K23" s="38">
        <f>I23*J20</f>
        <v>123570</v>
      </c>
      <c r="L23" s="40">
        <v>14</v>
      </c>
      <c r="M23" s="102"/>
      <c r="N23" s="38">
        <f>L23*M20</f>
        <v>99722</v>
      </c>
      <c r="O23" s="40">
        <v>5</v>
      </c>
      <c r="P23" s="102"/>
      <c r="Q23" s="38">
        <f>O23*P20</f>
        <v>1230</v>
      </c>
      <c r="R23" s="40">
        <v>14</v>
      </c>
      <c r="S23" s="102"/>
      <c r="T23" s="38">
        <f>R23*S20</f>
        <v>3626</v>
      </c>
      <c r="U23" s="40">
        <v>0</v>
      </c>
      <c r="V23" s="102"/>
      <c r="W23" s="38">
        <v>0</v>
      </c>
      <c r="X23" s="62">
        <f t="shared" si="5"/>
        <v>906958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135762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14706</v>
      </c>
      <c r="X24" s="62">
        <f>T24+Q24+N24+K24+H24+W24</f>
        <v>150468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105215.55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105215.55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2138251.5</v>
      </c>
      <c r="I26" s="43">
        <f t="shared" si="9"/>
        <v>10</v>
      </c>
      <c r="J26" s="104"/>
      <c r="K26" s="43">
        <f t="shared" si="9"/>
        <v>247140</v>
      </c>
      <c r="L26" s="43">
        <f t="shared" si="9"/>
        <v>19</v>
      </c>
      <c r="M26" s="104"/>
      <c r="N26" s="43">
        <f t="shared" ref="N26:R26" si="10">SUM(N20:N25)</f>
        <v>135337</v>
      </c>
      <c r="O26" s="43">
        <f t="shared" si="10"/>
        <v>10</v>
      </c>
      <c r="P26" s="104"/>
      <c r="Q26" s="43">
        <f t="shared" si="10"/>
        <v>2460</v>
      </c>
      <c r="R26" s="43">
        <f t="shared" si="10"/>
        <v>19</v>
      </c>
      <c r="S26" s="104"/>
      <c r="T26" s="43">
        <f t="shared" ref="T26:W26" si="11">SUM(T20:T25)</f>
        <v>4921</v>
      </c>
      <c r="U26" s="43">
        <f t="shared" si="11"/>
        <v>19</v>
      </c>
      <c r="V26" s="104"/>
      <c r="W26" s="43">
        <f t="shared" si="11"/>
        <v>14706</v>
      </c>
      <c r="X26" s="65">
        <f>T26+Q26+N26+K26+H26+W26</f>
        <v>2542815.5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394321.09</v>
      </c>
      <c r="E31" s="22">
        <f t="shared" ref="E31:E34" si="12">X4</f>
        <v>1110145.8999999999</v>
      </c>
      <c r="F31" s="22">
        <f t="shared" ref="F31:F34" si="13">E31-D31</f>
        <v>715824.81</v>
      </c>
      <c r="G31" s="22">
        <f t="shared" ref="G31:G34" si="14">X12</f>
        <v>1074922.8</v>
      </c>
      <c r="H31" s="22">
        <f t="shared" ref="H31:H34" si="15">G31-D31</f>
        <v>680601.71</v>
      </c>
      <c r="I31" s="22">
        <f t="shared" ref="I31:I34" si="16">X20</f>
        <v>1179727.95</v>
      </c>
      <c r="J31" s="50">
        <f t="shared" ref="J31:J34" si="17">I31-D31</f>
        <v>785406.86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79432.100000000006</v>
      </c>
      <c r="E32" s="22">
        <f t="shared" si="12"/>
        <v>187892</v>
      </c>
      <c r="F32" s="22">
        <f t="shared" si="13"/>
        <v>108459.9</v>
      </c>
      <c r="G32" s="22">
        <f t="shared" si="14"/>
        <v>181832</v>
      </c>
      <c r="H32" s="22">
        <f t="shared" si="15"/>
        <v>102399.9</v>
      </c>
      <c r="I32" s="22">
        <f t="shared" si="16"/>
        <v>200446</v>
      </c>
      <c r="J32" s="50">
        <f t="shared" si="17"/>
        <v>121013.9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347654.32</v>
      </c>
      <c r="E33" s="22">
        <f>X7+X8</f>
        <v>993819</v>
      </c>
      <c r="F33" s="22">
        <f t="shared" si="13"/>
        <v>646164.68000000005</v>
      </c>
      <c r="G33" s="22">
        <f>X15+X16</f>
        <v>962177</v>
      </c>
      <c r="H33" s="22">
        <f t="shared" si="15"/>
        <v>614522.68000000005</v>
      </c>
      <c r="I33" s="22">
        <f>X23+X24</f>
        <v>1057426</v>
      </c>
      <c r="J33" s="50">
        <f t="shared" si="17"/>
        <v>709771.68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323397.59000000003</v>
      </c>
      <c r="E34" s="22">
        <f t="shared" si="12"/>
        <v>851892</v>
      </c>
      <c r="F34" s="22">
        <f t="shared" si="13"/>
        <v>528494.41</v>
      </c>
      <c r="G34" s="22">
        <f t="shared" si="14"/>
        <v>824609</v>
      </c>
      <c r="H34" s="22">
        <f t="shared" si="15"/>
        <v>501211.41</v>
      </c>
      <c r="I34" s="22">
        <f t="shared" si="16"/>
        <v>906958</v>
      </c>
      <c r="J34" s="50">
        <f t="shared" si="17"/>
        <v>583560.41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24256.73</v>
      </c>
      <c r="E35" s="22">
        <f t="shared" si="18"/>
        <v>141927</v>
      </c>
      <c r="F35" s="22">
        <f t="shared" si="18"/>
        <v>117670.27</v>
      </c>
      <c r="G35" s="22">
        <f t="shared" si="18"/>
        <v>137568</v>
      </c>
      <c r="H35" s="22">
        <f t="shared" si="18"/>
        <v>113311.27</v>
      </c>
      <c r="I35" s="22">
        <f t="shared" si="18"/>
        <v>150468</v>
      </c>
      <c r="J35" s="50">
        <f t="shared" si="18"/>
        <v>126211.27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22241.21</v>
      </c>
      <c r="E36" s="22">
        <f>X9</f>
        <v>99141.1</v>
      </c>
      <c r="F36" s="22">
        <f>E36-D36</f>
        <v>76899.89</v>
      </c>
      <c r="G36" s="22">
        <f>X17</f>
        <v>96013.2</v>
      </c>
      <c r="H36" s="22">
        <f>G36-D36</f>
        <v>73771.990000000005</v>
      </c>
      <c r="I36" s="22">
        <f>X25</f>
        <v>105215.55</v>
      </c>
      <c r="J36" s="50">
        <f>I36-D36</f>
        <v>82974.34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843648.72</v>
      </c>
      <c r="E37" s="22">
        <f>X10</f>
        <v>2390998</v>
      </c>
      <c r="F37" s="22">
        <f>E37-D37</f>
        <v>1547349.28</v>
      </c>
      <c r="G37" s="22">
        <f>X18</f>
        <v>2314945</v>
      </c>
      <c r="H37" s="22">
        <f>G37-D37</f>
        <v>1471296.28</v>
      </c>
      <c r="I37" s="22">
        <f>X26</f>
        <v>2542815.5</v>
      </c>
      <c r="J37" s="50">
        <f>I37-D37</f>
        <v>1699166.78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1593982.28</v>
      </c>
      <c r="G38" s="18"/>
      <c r="H38" s="22">
        <f>H37+C48+C49</f>
        <v>1517929.28</v>
      </c>
      <c r="I38" s="18"/>
      <c r="J38" s="50">
        <f>J37+C48+C49</f>
        <v>1745799.78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63962</v>
      </c>
      <c r="C43" s="21">
        <v>8901</v>
      </c>
      <c r="D43" s="25">
        <v>24823</v>
      </c>
      <c r="E43" s="21">
        <v>22823</v>
      </c>
      <c r="F43" s="21">
        <v>6678</v>
      </c>
      <c r="G43" s="21">
        <v>254</v>
      </c>
      <c r="H43" s="21">
        <v>233</v>
      </c>
      <c r="I43" s="52">
        <v>250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61944</v>
      </c>
      <c r="C44" s="21">
        <v>8678</v>
      </c>
      <c r="D44" s="25">
        <v>24045</v>
      </c>
      <c r="E44" s="21">
        <v>22045</v>
      </c>
      <c r="F44" s="21">
        <v>6456</v>
      </c>
      <c r="G44" s="21">
        <v>249</v>
      </c>
      <c r="H44" s="21">
        <v>226</v>
      </c>
      <c r="I44" s="52">
        <v>245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67881</v>
      </c>
      <c r="C45" s="28">
        <v>8456</v>
      </c>
      <c r="D45" s="29">
        <v>26814</v>
      </c>
      <c r="E45" s="21">
        <v>24714</v>
      </c>
      <c r="F45" s="21">
        <v>7123</v>
      </c>
      <c r="G45" s="28">
        <v>269</v>
      </c>
      <c r="H45" s="28">
        <v>246</v>
      </c>
      <c r="I45" s="53">
        <v>259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21300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25333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55"/>
  <sheetViews>
    <sheetView topLeftCell="A7" zoomScale="60" zoomScaleNormal="60" workbookViewId="0">
      <selection activeCell="D50" sqref="D50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107</v>
      </c>
      <c r="C1" s="70"/>
      <c r="D1" s="70" t="s">
        <v>2</v>
      </c>
      <c r="E1" s="70" t="s">
        <v>108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109</v>
      </c>
      <c r="E4" s="39" t="s">
        <v>25</v>
      </c>
      <c r="F4" s="40">
        <v>15.95</v>
      </c>
      <c r="G4" s="101">
        <f>B43</f>
        <v>66753</v>
      </c>
      <c r="H4" s="38">
        <f>F4*G4</f>
        <v>1064710.3500000001</v>
      </c>
      <c r="I4" s="45">
        <v>3</v>
      </c>
      <c r="J4" s="101">
        <f>E43</f>
        <v>23936</v>
      </c>
      <c r="K4" s="38">
        <f>I4*J4</f>
        <v>71808</v>
      </c>
      <c r="L4" s="45">
        <v>3</v>
      </c>
      <c r="M4" s="101">
        <f>F43</f>
        <v>6901</v>
      </c>
      <c r="N4" s="38">
        <f>L4*M4</f>
        <v>20703</v>
      </c>
      <c r="O4" s="46">
        <v>3</v>
      </c>
      <c r="P4" s="101">
        <f>H43</f>
        <v>239</v>
      </c>
      <c r="Q4" s="38">
        <f>O4*P4</f>
        <v>717</v>
      </c>
      <c r="R4" s="46">
        <v>3</v>
      </c>
      <c r="S4" s="101">
        <f>I43</f>
        <v>254</v>
      </c>
      <c r="T4" s="38">
        <f>R4*S4</f>
        <v>762</v>
      </c>
      <c r="U4" s="46">
        <v>0</v>
      </c>
      <c r="V4" s="101">
        <f>SUM(G43:I43)</f>
        <v>757</v>
      </c>
      <c r="W4" s="38">
        <v>0</v>
      </c>
      <c r="X4" s="62">
        <f t="shared" ref="X4:X7" si="0">T4+Q4+N4+K4+H4</f>
        <v>1158700.3500000001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133506</v>
      </c>
      <c r="I5" s="45">
        <v>2</v>
      </c>
      <c r="J5" s="102"/>
      <c r="K5" s="38">
        <f>I5*J4</f>
        <v>47872</v>
      </c>
      <c r="L5" s="45">
        <v>2</v>
      </c>
      <c r="M5" s="102"/>
      <c r="N5" s="38">
        <f>L5*M4</f>
        <v>13802</v>
      </c>
      <c r="O5" s="40">
        <v>2</v>
      </c>
      <c r="P5" s="102"/>
      <c r="Q5" s="38">
        <f>O5*P4</f>
        <v>478</v>
      </c>
      <c r="R5" s="40">
        <v>2</v>
      </c>
      <c r="S5" s="102"/>
      <c r="T5" s="38">
        <f>R5*S4</f>
        <v>508</v>
      </c>
      <c r="U5" s="40">
        <v>0</v>
      </c>
      <c r="V5" s="102"/>
      <c r="W5" s="38">
        <v>0</v>
      </c>
      <c r="X5" s="62">
        <f t="shared" si="0"/>
        <v>196166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667530</v>
      </c>
      <c r="I7" s="45">
        <v>5</v>
      </c>
      <c r="J7" s="102"/>
      <c r="K7" s="38">
        <f>I7*J4</f>
        <v>119680</v>
      </c>
      <c r="L7" s="45">
        <v>14</v>
      </c>
      <c r="M7" s="102"/>
      <c r="N7" s="38">
        <f>L7*M4</f>
        <v>96614</v>
      </c>
      <c r="O7" s="40">
        <v>5</v>
      </c>
      <c r="P7" s="102"/>
      <c r="Q7" s="38">
        <f>O7*P4</f>
        <v>1195</v>
      </c>
      <c r="R7" s="40">
        <v>14</v>
      </c>
      <c r="S7" s="102"/>
      <c r="T7" s="38">
        <f>R7*S4</f>
        <v>3556</v>
      </c>
      <c r="U7" s="40">
        <v>0</v>
      </c>
      <c r="V7" s="102"/>
      <c r="W7" s="38">
        <v>0</v>
      </c>
      <c r="X7" s="62">
        <f t="shared" si="0"/>
        <v>888575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133506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14383</v>
      </c>
      <c r="X8" s="62">
        <f>T8+Q8+N8+K8+H8+W8</f>
        <v>147889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103467.15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103467.15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2102719.5</v>
      </c>
      <c r="I10" s="41">
        <f t="shared" si="2"/>
        <v>10</v>
      </c>
      <c r="J10" s="103"/>
      <c r="K10" s="41">
        <f t="shared" si="2"/>
        <v>239360</v>
      </c>
      <c r="L10" s="41">
        <f t="shared" si="2"/>
        <v>19</v>
      </c>
      <c r="M10" s="103"/>
      <c r="N10" s="41">
        <f t="shared" ref="N10:R10" si="3">SUM(N4:N9)</f>
        <v>131119</v>
      </c>
      <c r="O10" s="41">
        <f t="shared" si="3"/>
        <v>10</v>
      </c>
      <c r="P10" s="103"/>
      <c r="Q10" s="41">
        <f t="shared" si="3"/>
        <v>2390</v>
      </c>
      <c r="R10" s="41">
        <f t="shared" si="3"/>
        <v>19</v>
      </c>
      <c r="S10" s="103"/>
      <c r="T10" s="41">
        <f t="shared" ref="T10:W10" si="4">SUM(T4:T9)</f>
        <v>4826</v>
      </c>
      <c r="U10" s="41">
        <f t="shared" si="4"/>
        <v>19</v>
      </c>
      <c r="V10" s="103"/>
      <c r="W10" s="41">
        <f t="shared" si="4"/>
        <v>14383</v>
      </c>
      <c r="X10" s="63">
        <f>T10+Q10+N10+K10+H10+W10</f>
        <v>2494797.5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109</v>
      </c>
      <c r="E12" s="39" t="s">
        <v>25</v>
      </c>
      <c r="F12" s="40">
        <v>15.95</v>
      </c>
      <c r="G12" s="101">
        <f>B44</f>
        <v>64725</v>
      </c>
      <c r="H12" s="38">
        <f>F12*G12</f>
        <v>1032363.75</v>
      </c>
      <c r="I12" s="46">
        <v>3</v>
      </c>
      <c r="J12" s="101">
        <f>E44</f>
        <v>23158</v>
      </c>
      <c r="K12" s="38">
        <f>I12*J12</f>
        <v>69474</v>
      </c>
      <c r="L12" s="46">
        <v>3</v>
      </c>
      <c r="M12" s="101">
        <f>F44</f>
        <v>6679</v>
      </c>
      <c r="N12" s="38">
        <f>L12*M12</f>
        <v>20037</v>
      </c>
      <c r="O12" s="46">
        <v>3</v>
      </c>
      <c r="P12" s="101">
        <f>H44</f>
        <v>232</v>
      </c>
      <c r="Q12" s="38">
        <f>O12*P12</f>
        <v>696</v>
      </c>
      <c r="R12" s="46">
        <v>3</v>
      </c>
      <c r="S12" s="101">
        <f>I44</f>
        <v>249</v>
      </c>
      <c r="T12" s="38">
        <f>R12*S12</f>
        <v>747</v>
      </c>
      <c r="U12" s="46">
        <v>0</v>
      </c>
      <c r="V12" s="101">
        <f>SUM(G44:I44)</f>
        <v>740</v>
      </c>
      <c r="W12" s="38">
        <v>0</v>
      </c>
      <c r="X12" s="62">
        <f t="shared" si="1"/>
        <v>1123317.75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129450</v>
      </c>
      <c r="I13" s="40">
        <v>2</v>
      </c>
      <c r="J13" s="102"/>
      <c r="K13" s="38">
        <f>I13*J12</f>
        <v>46316</v>
      </c>
      <c r="L13" s="40">
        <v>2</v>
      </c>
      <c r="M13" s="102"/>
      <c r="N13" s="38">
        <f>L13*M12</f>
        <v>13358</v>
      </c>
      <c r="O13" s="40">
        <v>2</v>
      </c>
      <c r="P13" s="102"/>
      <c r="Q13" s="38">
        <f>O13*P12</f>
        <v>464</v>
      </c>
      <c r="R13" s="40">
        <v>2</v>
      </c>
      <c r="S13" s="102"/>
      <c r="T13" s="38">
        <f>R13*S12</f>
        <v>498</v>
      </c>
      <c r="U13" s="40">
        <v>0</v>
      </c>
      <c r="V13" s="102"/>
      <c r="W13" s="38">
        <v>0</v>
      </c>
      <c r="X13" s="62">
        <f t="shared" si="1"/>
        <v>190086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647250</v>
      </c>
      <c r="I15" s="40">
        <v>5</v>
      </c>
      <c r="J15" s="102"/>
      <c r="K15" s="38">
        <f>I15*J12</f>
        <v>115790</v>
      </c>
      <c r="L15" s="40">
        <v>14</v>
      </c>
      <c r="M15" s="102"/>
      <c r="N15" s="38">
        <f>L15*M12</f>
        <v>93506</v>
      </c>
      <c r="O15" s="40">
        <v>5</v>
      </c>
      <c r="P15" s="102"/>
      <c r="Q15" s="38">
        <f>O15*P12</f>
        <v>1160</v>
      </c>
      <c r="R15" s="40">
        <v>14</v>
      </c>
      <c r="S15" s="102"/>
      <c r="T15" s="38">
        <f>R15*S12</f>
        <v>3486</v>
      </c>
      <c r="U15" s="40">
        <v>0</v>
      </c>
      <c r="V15" s="102"/>
      <c r="W15" s="38">
        <v>0</v>
      </c>
      <c r="X15" s="62">
        <f t="shared" si="1"/>
        <v>861192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129450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14060</v>
      </c>
      <c r="X16" s="62">
        <f>T16+Q16+N16+K16+H16+W16</f>
        <v>143510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100323.75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100323.75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2038837.5</v>
      </c>
      <c r="I18" s="41">
        <f t="shared" si="6"/>
        <v>10</v>
      </c>
      <c r="J18" s="103"/>
      <c r="K18" s="41">
        <f t="shared" si="6"/>
        <v>231580</v>
      </c>
      <c r="L18" s="41">
        <f t="shared" si="6"/>
        <v>19</v>
      </c>
      <c r="M18" s="103"/>
      <c r="N18" s="41">
        <f t="shared" ref="N18:R18" si="7">SUM(N12:N17)</f>
        <v>126901</v>
      </c>
      <c r="O18" s="41">
        <f t="shared" si="7"/>
        <v>10</v>
      </c>
      <c r="P18" s="103"/>
      <c r="Q18" s="41">
        <f t="shared" si="7"/>
        <v>2320</v>
      </c>
      <c r="R18" s="41">
        <f t="shared" si="7"/>
        <v>19</v>
      </c>
      <c r="S18" s="103"/>
      <c r="T18" s="41">
        <f t="shared" ref="T18:W18" si="8">SUM(T12:T17)</f>
        <v>4731</v>
      </c>
      <c r="U18" s="41">
        <f t="shared" si="8"/>
        <v>19</v>
      </c>
      <c r="V18" s="103"/>
      <c r="W18" s="41">
        <f t="shared" si="8"/>
        <v>14060</v>
      </c>
      <c r="X18" s="63">
        <f>T18+Q18+N18+K18+H18+W18</f>
        <v>2418429.5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109</v>
      </c>
      <c r="E20" s="39" t="s">
        <v>25</v>
      </c>
      <c r="F20" s="40">
        <v>15.95</v>
      </c>
      <c r="G20" s="101">
        <f>B45</f>
        <v>70705</v>
      </c>
      <c r="H20" s="38">
        <f>F20*G20</f>
        <v>1127744.75</v>
      </c>
      <c r="I20" s="46">
        <v>3</v>
      </c>
      <c r="J20" s="101">
        <f>E45</f>
        <v>25947</v>
      </c>
      <c r="K20" s="38">
        <f>I20*J20</f>
        <v>77841</v>
      </c>
      <c r="L20" s="46">
        <v>3</v>
      </c>
      <c r="M20" s="101">
        <f>F45</f>
        <v>7345</v>
      </c>
      <c r="N20" s="38">
        <f>L20*M20</f>
        <v>22035</v>
      </c>
      <c r="O20" s="46">
        <v>3</v>
      </c>
      <c r="P20" s="101">
        <f>H45</f>
        <v>257</v>
      </c>
      <c r="Q20" s="38">
        <f>O20*P20</f>
        <v>771</v>
      </c>
      <c r="R20" s="46">
        <v>3</v>
      </c>
      <c r="S20" s="101">
        <f>I45</f>
        <v>271</v>
      </c>
      <c r="T20" s="38">
        <f>R20*S20</f>
        <v>813</v>
      </c>
      <c r="U20" s="46">
        <v>0</v>
      </c>
      <c r="V20" s="101">
        <f>SUM((G45:I45))</f>
        <v>809</v>
      </c>
      <c r="W20" s="38">
        <v>0</v>
      </c>
      <c r="X20" s="62">
        <f t="shared" si="5"/>
        <v>1229204.75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141410</v>
      </c>
      <c r="I21" s="40">
        <v>2</v>
      </c>
      <c r="J21" s="102"/>
      <c r="K21" s="38">
        <f>I21*J20</f>
        <v>51894</v>
      </c>
      <c r="L21" s="40">
        <v>2</v>
      </c>
      <c r="M21" s="102"/>
      <c r="N21" s="38">
        <f>L21*M20</f>
        <v>14690</v>
      </c>
      <c r="O21" s="40">
        <v>2</v>
      </c>
      <c r="P21" s="102"/>
      <c r="Q21" s="38">
        <f>O21*P20</f>
        <v>514</v>
      </c>
      <c r="R21" s="40">
        <v>2</v>
      </c>
      <c r="S21" s="102"/>
      <c r="T21" s="38">
        <f>R21*S20</f>
        <v>542</v>
      </c>
      <c r="U21" s="40">
        <v>0</v>
      </c>
      <c r="V21" s="102"/>
      <c r="W21" s="38">
        <v>0</v>
      </c>
      <c r="X21" s="62">
        <f t="shared" si="5"/>
        <v>209050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707050</v>
      </c>
      <c r="I23" s="40">
        <v>5</v>
      </c>
      <c r="J23" s="102"/>
      <c r="K23" s="38">
        <f>I23*J20</f>
        <v>129735</v>
      </c>
      <c r="L23" s="40">
        <v>14</v>
      </c>
      <c r="M23" s="102"/>
      <c r="N23" s="38">
        <f>L23*M20</f>
        <v>102830</v>
      </c>
      <c r="O23" s="40">
        <v>5</v>
      </c>
      <c r="P23" s="102"/>
      <c r="Q23" s="38">
        <f>O23*P20</f>
        <v>1285</v>
      </c>
      <c r="R23" s="40">
        <v>14</v>
      </c>
      <c r="S23" s="102"/>
      <c r="T23" s="38">
        <f>R23*S20</f>
        <v>3794</v>
      </c>
      <c r="U23" s="40">
        <v>0</v>
      </c>
      <c r="V23" s="102"/>
      <c r="W23" s="38">
        <v>0</v>
      </c>
      <c r="X23" s="62">
        <f t="shared" si="5"/>
        <v>944694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141410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15371</v>
      </c>
      <c r="X24" s="62">
        <f>T24+Q24+N24+K24+H24+W24</f>
        <v>156781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109592.75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109592.75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2227207.5</v>
      </c>
      <c r="I26" s="43">
        <f t="shared" si="9"/>
        <v>10</v>
      </c>
      <c r="J26" s="104"/>
      <c r="K26" s="43">
        <f t="shared" si="9"/>
        <v>259470</v>
      </c>
      <c r="L26" s="43">
        <f t="shared" si="9"/>
        <v>19</v>
      </c>
      <c r="M26" s="104"/>
      <c r="N26" s="43">
        <f t="shared" ref="N26:R26" si="10">SUM(N20:N25)</f>
        <v>139555</v>
      </c>
      <c r="O26" s="43">
        <f t="shared" si="10"/>
        <v>10</v>
      </c>
      <c r="P26" s="104"/>
      <c r="Q26" s="43">
        <f t="shared" si="10"/>
        <v>2570</v>
      </c>
      <c r="R26" s="43">
        <f t="shared" si="10"/>
        <v>19</v>
      </c>
      <c r="S26" s="104"/>
      <c r="T26" s="43">
        <f t="shared" ref="T26:W26" si="11">SUM(T20:T25)</f>
        <v>5149</v>
      </c>
      <c r="U26" s="43">
        <f t="shared" si="11"/>
        <v>19</v>
      </c>
      <c r="V26" s="104"/>
      <c r="W26" s="43">
        <f t="shared" si="11"/>
        <v>15371</v>
      </c>
      <c r="X26" s="65">
        <f>T26+Q26+N26+K26+H26+W26</f>
        <v>2649322.5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333210.98</v>
      </c>
      <c r="E31" s="22">
        <f t="shared" ref="E31:E34" si="12">X4</f>
        <v>1158700.3500000001</v>
      </c>
      <c r="F31" s="22">
        <f t="shared" ref="F31:F34" si="13">E31-D31</f>
        <v>825489.37</v>
      </c>
      <c r="G31" s="22">
        <f t="shared" ref="G31:G34" si="14">X12</f>
        <v>1123317.75</v>
      </c>
      <c r="H31" s="22">
        <f t="shared" ref="H31:H34" si="15">G31-D31</f>
        <v>790106.77</v>
      </c>
      <c r="I31" s="22">
        <f t="shared" ref="I31:I34" si="16">X20</f>
        <v>1229204.75</v>
      </c>
      <c r="J31" s="50">
        <f t="shared" ref="J31:J34" si="17">I31-D31</f>
        <v>895993.77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67321.09</v>
      </c>
      <c r="E32" s="22">
        <f t="shared" si="12"/>
        <v>196166</v>
      </c>
      <c r="F32" s="22">
        <f t="shared" si="13"/>
        <v>128844.91</v>
      </c>
      <c r="G32" s="22">
        <f t="shared" si="14"/>
        <v>190086</v>
      </c>
      <c r="H32" s="22">
        <f t="shared" si="15"/>
        <v>122764.91</v>
      </c>
      <c r="I32" s="22">
        <f t="shared" si="16"/>
        <v>209050</v>
      </c>
      <c r="J32" s="50">
        <f t="shared" si="17"/>
        <v>141728.91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314321.09000000003</v>
      </c>
      <c r="E33" s="22">
        <f>X7+X8</f>
        <v>1036464</v>
      </c>
      <c r="F33" s="22">
        <f t="shared" si="13"/>
        <v>722142.91</v>
      </c>
      <c r="G33" s="22">
        <f>X15+X16</f>
        <v>1004702</v>
      </c>
      <c r="H33" s="22">
        <f t="shared" si="15"/>
        <v>690380.91</v>
      </c>
      <c r="I33" s="22">
        <f>X23+X24</f>
        <v>1101475</v>
      </c>
      <c r="J33" s="50">
        <f t="shared" si="17"/>
        <v>787153.91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291343.93</v>
      </c>
      <c r="E34" s="22">
        <f t="shared" si="12"/>
        <v>888575</v>
      </c>
      <c r="F34" s="22">
        <f t="shared" si="13"/>
        <v>597231.06999999995</v>
      </c>
      <c r="G34" s="22">
        <f t="shared" si="14"/>
        <v>861192</v>
      </c>
      <c r="H34" s="22">
        <f t="shared" si="15"/>
        <v>569848.06999999995</v>
      </c>
      <c r="I34" s="22">
        <f t="shared" si="16"/>
        <v>944694</v>
      </c>
      <c r="J34" s="50">
        <f t="shared" si="17"/>
        <v>653350.06999999995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22977.16</v>
      </c>
      <c r="E35" s="22">
        <f t="shared" si="18"/>
        <v>147889</v>
      </c>
      <c r="F35" s="22">
        <f t="shared" si="18"/>
        <v>124911.84</v>
      </c>
      <c r="G35" s="22">
        <f t="shared" si="18"/>
        <v>143510</v>
      </c>
      <c r="H35" s="22">
        <f t="shared" si="18"/>
        <v>120532.84</v>
      </c>
      <c r="I35" s="22">
        <f t="shared" si="18"/>
        <v>156781</v>
      </c>
      <c r="J35" s="50">
        <f t="shared" si="18"/>
        <v>133803.84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42241.21</v>
      </c>
      <c r="E36" s="22">
        <f>X9</f>
        <v>103467.15</v>
      </c>
      <c r="F36" s="22">
        <f>E36-D36</f>
        <v>61225.94</v>
      </c>
      <c r="G36" s="22">
        <f>X17</f>
        <v>100323.75</v>
      </c>
      <c r="H36" s="22">
        <f>G36-D36</f>
        <v>58082.54</v>
      </c>
      <c r="I36" s="22">
        <f>X25</f>
        <v>109592.75</v>
      </c>
      <c r="J36" s="50">
        <f>I36-D36</f>
        <v>67351.539999999994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757094.37</v>
      </c>
      <c r="E37" s="22">
        <f>X10</f>
        <v>2494797.5</v>
      </c>
      <c r="F37" s="22">
        <f>E37-D37</f>
        <v>1737703.13</v>
      </c>
      <c r="G37" s="22">
        <f>X18</f>
        <v>2418429.5</v>
      </c>
      <c r="H37" s="22">
        <f>G37-D37</f>
        <v>1661335.13</v>
      </c>
      <c r="I37" s="22">
        <f>X26</f>
        <v>2649322.5</v>
      </c>
      <c r="J37" s="50">
        <f>I37-D37</f>
        <v>1892228.13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1795166.13</v>
      </c>
      <c r="G38" s="18"/>
      <c r="H38" s="22">
        <f>H37+C48+C49</f>
        <v>1718798.13</v>
      </c>
      <c r="I38" s="18"/>
      <c r="J38" s="50">
        <f>J37+C48+C49</f>
        <v>1949691.13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66753</v>
      </c>
      <c r="C43" s="21">
        <v>9123</v>
      </c>
      <c r="D43" s="25">
        <v>26036</v>
      </c>
      <c r="E43" s="21">
        <v>23936</v>
      </c>
      <c r="F43" s="21">
        <v>6901</v>
      </c>
      <c r="G43" s="21">
        <v>264</v>
      </c>
      <c r="H43" s="21">
        <v>239</v>
      </c>
      <c r="I43" s="52">
        <v>254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64725</v>
      </c>
      <c r="C44" s="21">
        <v>8890</v>
      </c>
      <c r="D44" s="25">
        <v>25258</v>
      </c>
      <c r="E44" s="21">
        <v>23158</v>
      </c>
      <c r="F44" s="21">
        <v>6679</v>
      </c>
      <c r="G44" s="21">
        <v>259</v>
      </c>
      <c r="H44" s="21">
        <v>232</v>
      </c>
      <c r="I44" s="52">
        <v>249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70705</v>
      </c>
      <c r="C45" s="28">
        <v>8657</v>
      </c>
      <c r="D45" s="29">
        <v>27947</v>
      </c>
      <c r="E45" s="21">
        <v>25947</v>
      </c>
      <c r="F45" s="21">
        <v>7345</v>
      </c>
      <c r="G45" s="28">
        <v>281</v>
      </c>
      <c r="H45" s="28">
        <v>257</v>
      </c>
      <c r="I45" s="53">
        <v>271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12130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45333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55"/>
  <sheetViews>
    <sheetView topLeftCell="A4" zoomScale="60" zoomScaleNormal="60" workbookViewId="0">
      <selection activeCell="J40" sqref="J40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110</v>
      </c>
      <c r="C1" s="70"/>
      <c r="D1" s="70" t="s">
        <v>2</v>
      </c>
      <c r="E1" s="70" t="s">
        <v>111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112</v>
      </c>
      <c r="E4" s="39" t="s">
        <v>25</v>
      </c>
      <c r="F4" s="40">
        <v>7.95</v>
      </c>
      <c r="G4" s="101">
        <f>B43</f>
        <v>64892</v>
      </c>
      <c r="H4" s="38">
        <f>F4*G4</f>
        <v>515891.4</v>
      </c>
      <c r="I4" s="45">
        <v>3</v>
      </c>
      <c r="J4" s="101">
        <f>E43</f>
        <v>24123</v>
      </c>
      <c r="K4" s="38">
        <f>I4*J4</f>
        <v>72369</v>
      </c>
      <c r="L4" s="45">
        <v>3</v>
      </c>
      <c r="M4" s="101">
        <f>F43</f>
        <v>6790</v>
      </c>
      <c r="N4" s="38">
        <f>L4*M4</f>
        <v>20370</v>
      </c>
      <c r="O4" s="46">
        <v>3</v>
      </c>
      <c r="P4" s="101">
        <f>H43</f>
        <v>237</v>
      </c>
      <c r="Q4" s="38">
        <f>O4*P4</f>
        <v>711</v>
      </c>
      <c r="R4" s="46">
        <v>3</v>
      </c>
      <c r="S4" s="101">
        <f>I43</f>
        <v>256</v>
      </c>
      <c r="T4" s="38">
        <f>R4*S4</f>
        <v>768</v>
      </c>
      <c r="U4" s="46">
        <v>0</v>
      </c>
      <c r="V4" s="101">
        <f>SUM(G43:I43)</f>
        <v>758</v>
      </c>
      <c r="W4" s="38">
        <v>0</v>
      </c>
      <c r="X4" s="62">
        <f t="shared" ref="X4:X7" si="0">T4+Q4+N4+K4+H4</f>
        <v>610109.4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129784</v>
      </c>
      <c r="I5" s="45">
        <v>2</v>
      </c>
      <c r="J5" s="102"/>
      <c r="K5" s="38">
        <f>I5*J4</f>
        <v>48246</v>
      </c>
      <c r="L5" s="45">
        <v>2</v>
      </c>
      <c r="M5" s="102"/>
      <c r="N5" s="38">
        <f>L5*M4</f>
        <v>13580</v>
      </c>
      <c r="O5" s="40">
        <v>2</v>
      </c>
      <c r="P5" s="102"/>
      <c r="Q5" s="38">
        <f>O5*P4</f>
        <v>474</v>
      </c>
      <c r="R5" s="40">
        <v>2</v>
      </c>
      <c r="S5" s="102"/>
      <c r="T5" s="38">
        <f>R5*S4</f>
        <v>512</v>
      </c>
      <c r="U5" s="40">
        <v>0</v>
      </c>
      <c r="V5" s="102"/>
      <c r="W5" s="38">
        <v>0</v>
      </c>
      <c r="X5" s="62">
        <f t="shared" si="0"/>
        <v>192596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648920</v>
      </c>
      <c r="I7" s="45">
        <v>5</v>
      </c>
      <c r="J7" s="102"/>
      <c r="K7" s="38">
        <f>I7*J4</f>
        <v>120615</v>
      </c>
      <c r="L7" s="45">
        <v>14</v>
      </c>
      <c r="M7" s="102"/>
      <c r="N7" s="38">
        <f>L7*M4</f>
        <v>95060</v>
      </c>
      <c r="O7" s="40">
        <v>5</v>
      </c>
      <c r="P7" s="102"/>
      <c r="Q7" s="38">
        <f>O7*P4</f>
        <v>1185</v>
      </c>
      <c r="R7" s="40">
        <v>14</v>
      </c>
      <c r="S7" s="102"/>
      <c r="T7" s="38">
        <f>R7*S4</f>
        <v>3584</v>
      </c>
      <c r="U7" s="40">
        <v>0</v>
      </c>
      <c r="V7" s="102"/>
      <c r="W7" s="38">
        <v>0</v>
      </c>
      <c r="X7" s="62">
        <f t="shared" si="0"/>
        <v>869364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129784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14402</v>
      </c>
      <c r="X8" s="62">
        <f>T8+Q8+N8+K8+H8+W8</f>
        <v>144186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100582.6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100582.6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11.5</v>
      </c>
      <c r="G10" s="103"/>
      <c r="H10" s="41">
        <f t="shared" ref="H10:L10" si="2">SUM(H4:H9)</f>
        <v>1524962</v>
      </c>
      <c r="I10" s="41">
        <f t="shared" si="2"/>
        <v>10</v>
      </c>
      <c r="J10" s="103"/>
      <c r="K10" s="41">
        <f t="shared" si="2"/>
        <v>241230</v>
      </c>
      <c r="L10" s="41">
        <f t="shared" si="2"/>
        <v>19</v>
      </c>
      <c r="M10" s="103"/>
      <c r="N10" s="41">
        <f t="shared" ref="N10:R10" si="3">SUM(N4:N9)</f>
        <v>129010</v>
      </c>
      <c r="O10" s="41">
        <f t="shared" si="3"/>
        <v>10</v>
      </c>
      <c r="P10" s="103"/>
      <c r="Q10" s="41">
        <f t="shared" si="3"/>
        <v>2370</v>
      </c>
      <c r="R10" s="41">
        <f t="shared" si="3"/>
        <v>19</v>
      </c>
      <c r="S10" s="103"/>
      <c r="T10" s="41">
        <f t="shared" ref="T10:W10" si="4">SUM(T4:T9)</f>
        <v>4864</v>
      </c>
      <c r="U10" s="41">
        <f t="shared" si="4"/>
        <v>19</v>
      </c>
      <c r="V10" s="103"/>
      <c r="W10" s="41">
        <f t="shared" si="4"/>
        <v>14402</v>
      </c>
      <c r="X10" s="63">
        <f>T10+Q10+N10+K10+H10+W10</f>
        <v>1916838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112</v>
      </c>
      <c r="E12" s="39" t="s">
        <v>25</v>
      </c>
      <c r="F12" s="40">
        <v>7.95</v>
      </c>
      <c r="G12" s="101">
        <f>B44</f>
        <v>64516</v>
      </c>
      <c r="H12" s="38">
        <f>F12*G12</f>
        <v>512902.2</v>
      </c>
      <c r="I12" s="46">
        <v>3</v>
      </c>
      <c r="J12" s="101">
        <f>E44</f>
        <v>23987</v>
      </c>
      <c r="K12" s="38">
        <f>I12*J12</f>
        <v>71961</v>
      </c>
      <c r="L12" s="46">
        <v>3</v>
      </c>
      <c r="M12" s="101">
        <f>F44</f>
        <v>6890</v>
      </c>
      <c r="N12" s="38">
        <f>L12*M12</f>
        <v>20670</v>
      </c>
      <c r="O12" s="46">
        <v>3</v>
      </c>
      <c r="P12" s="101">
        <f>H44</f>
        <v>240</v>
      </c>
      <c r="Q12" s="38">
        <f>O12*P12</f>
        <v>720</v>
      </c>
      <c r="R12" s="46">
        <v>3</v>
      </c>
      <c r="S12" s="101">
        <f>I44</f>
        <v>253</v>
      </c>
      <c r="T12" s="38">
        <f>R12*S12</f>
        <v>759</v>
      </c>
      <c r="U12" s="46">
        <v>0</v>
      </c>
      <c r="V12" s="101">
        <f>SUM(G44:I44)</f>
        <v>751</v>
      </c>
      <c r="W12" s="38">
        <v>0</v>
      </c>
      <c r="X12" s="62">
        <f t="shared" si="1"/>
        <v>607012.19999999995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129032</v>
      </c>
      <c r="I13" s="40">
        <v>2</v>
      </c>
      <c r="J13" s="102"/>
      <c r="K13" s="38">
        <f>I13*J12</f>
        <v>47974</v>
      </c>
      <c r="L13" s="40">
        <v>2</v>
      </c>
      <c r="M13" s="102"/>
      <c r="N13" s="38">
        <f>L13*M12</f>
        <v>13780</v>
      </c>
      <c r="O13" s="40">
        <v>2</v>
      </c>
      <c r="P13" s="102"/>
      <c r="Q13" s="38">
        <f>O13*P12</f>
        <v>480</v>
      </c>
      <c r="R13" s="40">
        <v>2</v>
      </c>
      <c r="S13" s="102"/>
      <c r="T13" s="38">
        <f>R13*S12</f>
        <v>506</v>
      </c>
      <c r="U13" s="40">
        <v>0</v>
      </c>
      <c r="V13" s="102"/>
      <c r="W13" s="38">
        <v>0</v>
      </c>
      <c r="X13" s="62">
        <f t="shared" si="1"/>
        <v>191772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645160</v>
      </c>
      <c r="I15" s="40">
        <v>5</v>
      </c>
      <c r="J15" s="102"/>
      <c r="K15" s="38">
        <f>I15*J12</f>
        <v>119935</v>
      </c>
      <c r="L15" s="40">
        <v>14</v>
      </c>
      <c r="M15" s="102"/>
      <c r="N15" s="38">
        <f>L15*M12</f>
        <v>96460</v>
      </c>
      <c r="O15" s="40">
        <v>5</v>
      </c>
      <c r="P15" s="102"/>
      <c r="Q15" s="38">
        <f>O15*P12</f>
        <v>1200</v>
      </c>
      <c r="R15" s="40">
        <v>14</v>
      </c>
      <c r="S15" s="102"/>
      <c r="T15" s="38">
        <f>R15*S12</f>
        <v>3542</v>
      </c>
      <c r="U15" s="40">
        <v>0</v>
      </c>
      <c r="V15" s="102"/>
      <c r="W15" s="38">
        <v>0</v>
      </c>
      <c r="X15" s="62">
        <f t="shared" si="1"/>
        <v>866297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129032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14269</v>
      </c>
      <c r="X16" s="62">
        <f>T16+Q16+N16+K16+H16+W16</f>
        <v>143301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99999.8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99999.8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11.5</v>
      </c>
      <c r="G18" s="103"/>
      <c r="H18" s="41">
        <f t="shared" ref="H18:L18" si="6">SUM(H12:H17)</f>
        <v>1516126</v>
      </c>
      <c r="I18" s="41">
        <f t="shared" si="6"/>
        <v>10</v>
      </c>
      <c r="J18" s="103"/>
      <c r="K18" s="41">
        <f t="shared" si="6"/>
        <v>239870</v>
      </c>
      <c r="L18" s="41">
        <f t="shared" si="6"/>
        <v>19</v>
      </c>
      <c r="M18" s="103"/>
      <c r="N18" s="41">
        <f t="shared" ref="N18:R18" si="7">SUM(N12:N17)</f>
        <v>130910</v>
      </c>
      <c r="O18" s="41">
        <f t="shared" si="7"/>
        <v>10</v>
      </c>
      <c r="P18" s="103"/>
      <c r="Q18" s="41">
        <f t="shared" si="7"/>
        <v>2400</v>
      </c>
      <c r="R18" s="41">
        <f t="shared" si="7"/>
        <v>19</v>
      </c>
      <c r="S18" s="103"/>
      <c r="T18" s="41">
        <f t="shared" ref="T18:W18" si="8">SUM(T12:T17)</f>
        <v>4807</v>
      </c>
      <c r="U18" s="41">
        <f t="shared" si="8"/>
        <v>19</v>
      </c>
      <c r="V18" s="103"/>
      <c r="W18" s="41">
        <f t="shared" si="8"/>
        <v>14269</v>
      </c>
      <c r="X18" s="63">
        <f>T18+Q18+N18+K18+H18+W18</f>
        <v>1908382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112</v>
      </c>
      <c r="E20" s="39" t="s">
        <v>25</v>
      </c>
      <c r="F20" s="40">
        <v>7.95</v>
      </c>
      <c r="G20" s="101">
        <f>B45</f>
        <v>62509</v>
      </c>
      <c r="H20" s="38">
        <f>F20*G20</f>
        <v>496946.55</v>
      </c>
      <c r="I20" s="46">
        <v>3</v>
      </c>
      <c r="J20" s="101">
        <f>E45</f>
        <v>23209</v>
      </c>
      <c r="K20" s="38">
        <f>I20*J20</f>
        <v>69627</v>
      </c>
      <c r="L20" s="46">
        <v>3</v>
      </c>
      <c r="M20" s="101">
        <f>F45</f>
        <v>6678</v>
      </c>
      <c r="N20" s="38">
        <f>L20*M20</f>
        <v>20034</v>
      </c>
      <c r="O20" s="46">
        <v>3</v>
      </c>
      <c r="P20" s="101">
        <f>H45</f>
        <v>233</v>
      </c>
      <c r="Q20" s="38">
        <f>O20*P20</f>
        <v>699</v>
      </c>
      <c r="R20" s="46">
        <v>3</v>
      </c>
      <c r="S20" s="101">
        <f>I45</f>
        <v>248</v>
      </c>
      <c r="T20" s="38">
        <f>R20*S20</f>
        <v>744</v>
      </c>
      <c r="U20" s="46">
        <v>0</v>
      </c>
      <c r="V20" s="101">
        <f>SUM((G45:I45))</f>
        <v>734</v>
      </c>
      <c r="W20" s="38">
        <v>0</v>
      </c>
      <c r="X20" s="62">
        <f t="shared" si="5"/>
        <v>588050.55000000005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125018</v>
      </c>
      <c r="I21" s="40">
        <v>2</v>
      </c>
      <c r="J21" s="102"/>
      <c r="K21" s="38">
        <f>I21*J20</f>
        <v>46418</v>
      </c>
      <c r="L21" s="40">
        <v>2</v>
      </c>
      <c r="M21" s="102"/>
      <c r="N21" s="38">
        <f>L21*M20</f>
        <v>13356</v>
      </c>
      <c r="O21" s="40">
        <v>2</v>
      </c>
      <c r="P21" s="102"/>
      <c r="Q21" s="38">
        <f>O21*P20</f>
        <v>466</v>
      </c>
      <c r="R21" s="40">
        <v>2</v>
      </c>
      <c r="S21" s="102"/>
      <c r="T21" s="38">
        <f>R21*S20</f>
        <v>496</v>
      </c>
      <c r="U21" s="40">
        <v>0</v>
      </c>
      <c r="V21" s="102"/>
      <c r="W21" s="38">
        <v>0</v>
      </c>
      <c r="X21" s="62">
        <f t="shared" si="5"/>
        <v>185754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625090</v>
      </c>
      <c r="I23" s="40">
        <v>5</v>
      </c>
      <c r="J23" s="102"/>
      <c r="K23" s="38">
        <f>I23*J20</f>
        <v>116045</v>
      </c>
      <c r="L23" s="40">
        <v>14</v>
      </c>
      <c r="M23" s="102"/>
      <c r="N23" s="38">
        <f>L23*M20</f>
        <v>93492</v>
      </c>
      <c r="O23" s="40">
        <v>5</v>
      </c>
      <c r="P23" s="102"/>
      <c r="Q23" s="38">
        <f>O23*P20</f>
        <v>1165</v>
      </c>
      <c r="R23" s="40">
        <v>14</v>
      </c>
      <c r="S23" s="102"/>
      <c r="T23" s="38">
        <f>R23*S20</f>
        <v>3472</v>
      </c>
      <c r="U23" s="40">
        <v>0</v>
      </c>
      <c r="V23" s="102"/>
      <c r="W23" s="38">
        <v>0</v>
      </c>
      <c r="X23" s="62">
        <f t="shared" si="5"/>
        <v>839264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125018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13946</v>
      </c>
      <c r="X24" s="62">
        <f>T24+Q24+N24+K24+H24+W24</f>
        <v>138964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96888.95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96888.95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11.5</v>
      </c>
      <c r="G26" s="104"/>
      <c r="H26" s="43">
        <f t="shared" ref="H26:L26" si="9">SUM(H20:H25)</f>
        <v>1468961.5</v>
      </c>
      <c r="I26" s="43">
        <f t="shared" si="9"/>
        <v>10</v>
      </c>
      <c r="J26" s="104"/>
      <c r="K26" s="43">
        <f t="shared" si="9"/>
        <v>232090</v>
      </c>
      <c r="L26" s="43">
        <f t="shared" si="9"/>
        <v>19</v>
      </c>
      <c r="M26" s="104"/>
      <c r="N26" s="43">
        <f t="shared" ref="N26:R26" si="10">SUM(N20:N25)</f>
        <v>126882</v>
      </c>
      <c r="O26" s="43">
        <f t="shared" si="10"/>
        <v>10</v>
      </c>
      <c r="P26" s="104"/>
      <c r="Q26" s="43">
        <f t="shared" si="10"/>
        <v>2330</v>
      </c>
      <c r="R26" s="43">
        <f t="shared" si="10"/>
        <v>19</v>
      </c>
      <c r="S26" s="104"/>
      <c r="T26" s="43">
        <f t="shared" ref="T26:W26" si="11">SUM(T20:T25)</f>
        <v>4712</v>
      </c>
      <c r="U26" s="43">
        <f t="shared" si="11"/>
        <v>19</v>
      </c>
      <c r="V26" s="104"/>
      <c r="W26" s="43">
        <f t="shared" si="11"/>
        <v>13946</v>
      </c>
      <c r="X26" s="65">
        <f>T26+Q26+N26+K26+H26+W26</f>
        <v>1848921.5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13890.12</v>
      </c>
      <c r="E31" s="22">
        <f t="shared" ref="E31:E34" si="12">X4</f>
        <v>610109.4</v>
      </c>
      <c r="F31" s="22">
        <f t="shared" ref="F31:F34" si="13">E31-D31</f>
        <v>596219.28</v>
      </c>
      <c r="G31" s="22">
        <f t="shared" ref="G31:G34" si="14">X12</f>
        <v>607012.19999999995</v>
      </c>
      <c r="H31" s="22">
        <f t="shared" ref="H31:H34" si="15">G31-D31</f>
        <v>593122.07999999996</v>
      </c>
      <c r="I31" s="22">
        <f t="shared" ref="I31:I34" si="16">X20</f>
        <v>588050.55000000005</v>
      </c>
      <c r="J31" s="50">
        <f t="shared" ref="J31:J34" si="17">I31-D31</f>
        <v>574160.43000000005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365432.1</v>
      </c>
      <c r="E32" s="22">
        <f t="shared" si="12"/>
        <v>192596</v>
      </c>
      <c r="F32" s="22">
        <f t="shared" si="13"/>
        <v>-172836.1</v>
      </c>
      <c r="G32" s="22">
        <f t="shared" si="14"/>
        <v>191772</v>
      </c>
      <c r="H32" s="22">
        <f t="shared" si="15"/>
        <v>-173660.1</v>
      </c>
      <c r="I32" s="22">
        <f t="shared" si="16"/>
        <v>185754</v>
      </c>
      <c r="J32" s="50">
        <f t="shared" si="17"/>
        <v>-179678.1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712340.56</v>
      </c>
      <c r="E33" s="22">
        <f>X7+X8</f>
        <v>1013550</v>
      </c>
      <c r="F33" s="22">
        <f t="shared" si="13"/>
        <v>301209.44</v>
      </c>
      <c r="G33" s="22">
        <f>X15+X16</f>
        <v>1009598</v>
      </c>
      <c r="H33" s="22">
        <f t="shared" si="15"/>
        <v>297257.44</v>
      </c>
      <c r="I33" s="22">
        <f>X23+X24</f>
        <v>978228</v>
      </c>
      <c r="J33" s="50">
        <f t="shared" si="17"/>
        <v>265887.44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328901.74</v>
      </c>
      <c r="E34" s="22">
        <f t="shared" si="12"/>
        <v>869364</v>
      </c>
      <c r="F34" s="22">
        <f t="shared" si="13"/>
        <v>540462.26</v>
      </c>
      <c r="G34" s="22">
        <f t="shared" si="14"/>
        <v>866297</v>
      </c>
      <c r="H34" s="22">
        <f t="shared" si="15"/>
        <v>537395.26</v>
      </c>
      <c r="I34" s="22">
        <f t="shared" si="16"/>
        <v>839264</v>
      </c>
      <c r="J34" s="50">
        <f t="shared" si="17"/>
        <v>510362.26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383438.82</v>
      </c>
      <c r="E35" s="22">
        <f t="shared" si="18"/>
        <v>144186</v>
      </c>
      <c r="F35" s="22">
        <f t="shared" si="18"/>
        <v>-239252.82</v>
      </c>
      <c r="G35" s="22">
        <f t="shared" si="18"/>
        <v>143301</v>
      </c>
      <c r="H35" s="22">
        <f t="shared" si="18"/>
        <v>-240137.82</v>
      </c>
      <c r="I35" s="22">
        <f t="shared" si="18"/>
        <v>138964</v>
      </c>
      <c r="J35" s="50">
        <f t="shared" si="18"/>
        <v>-244474.82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212241.21</v>
      </c>
      <c r="E36" s="22">
        <f>X9</f>
        <v>100582.6</v>
      </c>
      <c r="F36" s="22">
        <f>E36-D36</f>
        <v>-111658.61</v>
      </c>
      <c r="G36" s="22">
        <f>X17</f>
        <v>99999.8</v>
      </c>
      <c r="H36" s="22">
        <f>G36-D36</f>
        <v>-112241.41</v>
      </c>
      <c r="I36" s="22">
        <f>X25</f>
        <v>96888.95</v>
      </c>
      <c r="J36" s="50">
        <f>I36-D36</f>
        <v>-115352.26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1303903.99</v>
      </c>
      <c r="E37" s="22">
        <f>X10</f>
        <v>1916838</v>
      </c>
      <c r="F37" s="22">
        <f>E37-D37</f>
        <v>612934.01</v>
      </c>
      <c r="G37" s="22">
        <f>X18</f>
        <v>1908382</v>
      </c>
      <c r="H37" s="22">
        <f>G37-D37</f>
        <v>604478.01</v>
      </c>
      <c r="I37" s="22">
        <f>X26</f>
        <v>1848921.5</v>
      </c>
      <c r="J37" s="50">
        <f>I37-D37</f>
        <v>545017.51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670397.01</v>
      </c>
      <c r="G38" s="18"/>
      <c r="H38" s="22">
        <f>H37+C48+C49</f>
        <v>661941.01</v>
      </c>
      <c r="I38" s="18"/>
      <c r="J38" s="50">
        <f>J37+C48+C49</f>
        <v>602480.51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64892</v>
      </c>
      <c r="C43" s="21">
        <v>7123</v>
      </c>
      <c r="D43" s="25">
        <v>26098</v>
      </c>
      <c r="E43" s="21">
        <v>24123</v>
      </c>
      <c r="F43" s="21">
        <v>6790</v>
      </c>
      <c r="G43" s="21">
        <v>265</v>
      </c>
      <c r="H43" s="21">
        <v>237</v>
      </c>
      <c r="I43" s="52">
        <v>256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64516</v>
      </c>
      <c r="C44" s="21">
        <v>6901</v>
      </c>
      <c r="D44" s="25">
        <v>25987</v>
      </c>
      <c r="E44" s="21">
        <v>23987</v>
      </c>
      <c r="F44" s="21">
        <v>6890</v>
      </c>
      <c r="G44" s="21">
        <v>258</v>
      </c>
      <c r="H44" s="21">
        <v>240</v>
      </c>
      <c r="I44" s="52">
        <v>253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62509</v>
      </c>
      <c r="C45" s="28">
        <v>6679</v>
      </c>
      <c r="D45" s="29">
        <v>25209</v>
      </c>
      <c r="E45" s="21">
        <v>23209</v>
      </c>
      <c r="F45" s="21">
        <v>6678</v>
      </c>
      <c r="G45" s="28">
        <v>253</v>
      </c>
      <c r="H45" s="28">
        <v>233</v>
      </c>
      <c r="I45" s="53">
        <v>248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12130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45333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55"/>
  <sheetViews>
    <sheetView topLeftCell="A7" zoomScale="60" zoomScaleNormal="60" workbookViewId="0">
      <selection activeCell="E49" sqref="E49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113</v>
      </c>
      <c r="C1" s="70"/>
      <c r="D1" s="70" t="s">
        <v>2</v>
      </c>
      <c r="E1" s="70" t="s">
        <v>114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112</v>
      </c>
      <c r="E4" s="39" t="s">
        <v>25</v>
      </c>
      <c r="F4" s="40">
        <v>7.95</v>
      </c>
      <c r="G4" s="101">
        <f>B43</f>
        <v>62648</v>
      </c>
      <c r="H4" s="38">
        <f>F4*G4</f>
        <v>498051.6</v>
      </c>
      <c r="I4" s="45">
        <v>3</v>
      </c>
      <c r="J4" s="101">
        <f>E43</f>
        <v>23098</v>
      </c>
      <c r="K4" s="38">
        <f>I4*J4</f>
        <v>69294</v>
      </c>
      <c r="L4" s="45">
        <v>3</v>
      </c>
      <c r="M4" s="101">
        <f>F43</f>
        <v>6789</v>
      </c>
      <c r="N4" s="38">
        <f>L4*M4</f>
        <v>20367</v>
      </c>
      <c r="O4" s="46">
        <v>3</v>
      </c>
      <c r="P4" s="101">
        <f>H43</f>
        <v>235</v>
      </c>
      <c r="Q4" s="38">
        <f>O4*P4</f>
        <v>705</v>
      </c>
      <c r="R4" s="46">
        <v>3</v>
      </c>
      <c r="S4" s="101">
        <f>I43</f>
        <v>250</v>
      </c>
      <c r="T4" s="38">
        <f>R4*S4</f>
        <v>750</v>
      </c>
      <c r="U4" s="46">
        <v>0</v>
      </c>
      <c r="V4" s="101">
        <f>SUM(G43:I43)</f>
        <v>737</v>
      </c>
      <c r="W4" s="38">
        <v>0</v>
      </c>
      <c r="X4" s="62">
        <f t="shared" ref="X4:X7" si="0">T4+Q4+N4+K4+H4</f>
        <v>589167.6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125296</v>
      </c>
      <c r="I5" s="45">
        <v>2</v>
      </c>
      <c r="J5" s="102"/>
      <c r="K5" s="38">
        <f>I5*J4</f>
        <v>46196</v>
      </c>
      <c r="L5" s="45">
        <v>2</v>
      </c>
      <c r="M5" s="102"/>
      <c r="N5" s="38">
        <f>L5*M4</f>
        <v>13578</v>
      </c>
      <c r="O5" s="40">
        <v>2</v>
      </c>
      <c r="P5" s="102"/>
      <c r="Q5" s="38">
        <f>O5*P4</f>
        <v>470</v>
      </c>
      <c r="R5" s="40">
        <v>2</v>
      </c>
      <c r="S5" s="102"/>
      <c r="T5" s="38">
        <f>R5*S4</f>
        <v>500</v>
      </c>
      <c r="U5" s="40">
        <v>0</v>
      </c>
      <c r="V5" s="102"/>
      <c r="W5" s="38">
        <v>0</v>
      </c>
      <c r="X5" s="62">
        <f t="shared" si="0"/>
        <v>186040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626480</v>
      </c>
      <c r="I7" s="45">
        <v>5</v>
      </c>
      <c r="J7" s="102"/>
      <c r="K7" s="38">
        <f>I7*J4</f>
        <v>115490</v>
      </c>
      <c r="L7" s="45">
        <v>14</v>
      </c>
      <c r="M7" s="102"/>
      <c r="N7" s="38">
        <f>L7*M4</f>
        <v>95046</v>
      </c>
      <c r="O7" s="40">
        <v>5</v>
      </c>
      <c r="P7" s="102"/>
      <c r="Q7" s="38">
        <f>O7*P4</f>
        <v>1175</v>
      </c>
      <c r="R7" s="40">
        <v>14</v>
      </c>
      <c r="S7" s="102"/>
      <c r="T7" s="38">
        <f>R7*S4</f>
        <v>3500</v>
      </c>
      <c r="U7" s="40">
        <v>0</v>
      </c>
      <c r="V7" s="102"/>
      <c r="W7" s="38">
        <v>0</v>
      </c>
      <c r="X7" s="62">
        <f t="shared" si="0"/>
        <v>841691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125296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14003</v>
      </c>
      <c r="X8" s="62">
        <f>T8+Q8+N8+K8+H8+W8</f>
        <v>139299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97104.4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97104.4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11.5</v>
      </c>
      <c r="G10" s="103"/>
      <c r="H10" s="41">
        <f t="shared" ref="H10:L10" si="2">SUM(H4:H9)</f>
        <v>1472228</v>
      </c>
      <c r="I10" s="41">
        <f t="shared" si="2"/>
        <v>10</v>
      </c>
      <c r="J10" s="103"/>
      <c r="K10" s="41">
        <f t="shared" si="2"/>
        <v>230980</v>
      </c>
      <c r="L10" s="41">
        <f t="shared" si="2"/>
        <v>19</v>
      </c>
      <c r="M10" s="103"/>
      <c r="N10" s="41">
        <f t="shared" ref="N10:R10" si="3">SUM(N4:N9)</f>
        <v>128991</v>
      </c>
      <c r="O10" s="41">
        <f t="shared" si="3"/>
        <v>10</v>
      </c>
      <c r="P10" s="103"/>
      <c r="Q10" s="41">
        <f t="shared" si="3"/>
        <v>2350</v>
      </c>
      <c r="R10" s="41">
        <f t="shared" si="3"/>
        <v>19</v>
      </c>
      <c r="S10" s="103"/>
      <c r="T10" s="41">
        <f t="shared" ref="T10:W10" si="4">SUM(T4:T9)</f>
        <v>4750</v>
      </c>
      <c r="U10" s="41">
        <f t="shared" si="4"/>
        <v>19</v>
      </c>
      <c r="V10" s="103"/>
      <c r="W10" s="41">
        <f t="shared" si="4"/>
        <v>14003</v>
      </c>
      <c r="X10" s="63">
        <f>T10+Q10+N10+K10+H10+W10</f>
        <v>1853302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112</v>
      </c>
      <c r="E12" s="39" t="s">
        <v>25</v>
      </c>
      <c r="F12" s="40">
        <v>7.95</v>
      </c>
      <c r="G12" s="101">
        <f>B44</f>
        <v>60631</v>
      </c>
      <c r="H12" s="38">
        <f>F12*G12</f>
        <v>482016.45</v>
      </c>
      <c r="I12" s="46">
        <v>3</v>
      </c>
      <c r="J12" s="101">
        <f>E44</f>
        <v>22320</v>
      </c>
      <c r="K12" s="38">
        <f>I12*J12</f>
        <v>66960</v>
      </c>
      <c r="L12" s="46">
        <v>3</v>
      </c>
      <c r="M12" s="101">
        <f>F44</f>
        <v>6567</v>
      </c>
      <c r="N12" s="38">
        <f>L12*M12</f>
        <v>19701</v>
      </c>
      <c r="O12" s="46">
        <v>3</v>
      </c>
      <c r="P12" s="101">
        <f>H44</f>
        <v>228</v>
      </c>
      <c r="Q12" s="38">
        <f>O12*P12</f>
        <v>684</v>
      </c>
      <c r="R12" s="46">
        <v>3</v>
      </c>
      <c r="S12" s="101">
        <f>I44</f>
        <v>245</v>
      </c>
      <c r="T12" s="38">
        <f>R12*S12</f>
        <v>735</v>
      </c>
      <c r="U12" s="46">
        <v>0</v>
      </c>
      <c r="V12" s="101">
        <f>SUM(G44:I44)</f>
        <v>720</v>
      </c>
      <c r="W12" s="38">
        <v>0</v>
      </c>
      <c r="X12" s="62">
        <f t="shared" si="1"/>
        <v>570096.44999999995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121262</v>
      </c>
      <c r="I13" s="40">
        <v>2</v>
      </c>
      <c r="J13" s="102"/>
      <c r="K13" s="38">
        <f>I13*J12</f>
        <v>44640</v>
      </c>
      <c r="L13" s="40">
        <v>2</v>
      </c>
      <c r="M13" s="102"/>
      <c r="N13" s="38">
        <f>L13*M12</f>
        <v>13134</v>
      </c>
      <c r="O13" s="40">
        <v>2</v>
      </c>
      <c r="P13" s="102"/>
      <c r="Q13" s="38">
        <f>O13*P12</f>
        <v>456</v>
      </c>
      <c r="R13" s="40">
        <v>2</v>
      </c>
      <c r="S13" s="102"/>
      <c r="T13" s="38">
        <f>R13*S12</f>
        <v>490</v>
      </c>
      <c r="U13" s="40">
        <v>0</v>
      </c>
      <c r="V13" s="102"/>
      <c r="W13" s="38">
        <v>0</v>
      </c>
      <c r="X13" s="62">
        <f t="shared" si="1"/>
        <v>179982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606310</v>
      </c>
      <c r="I15" s="40">
        <v>5</v>
      </c>
      <c r="J15" s="102"/>
      <c r="K15" s="38">
        <f>I15*J12</f>
        <v>111600</v>
      </c>
      <c r="L15" s="40">
        <v>14</v>
      </c>
      <c r="M15" s="102"/>
      <c r="N15" s="38">
        <f>L15*M12</f>
        <v>91938</v>
      </c>
      <c r="O15" s="40">
        <v>5</v>
      </c>
      <c r="P15" s="102"/>
      <c r="Q15" s="38">
        <f>O15*P12</f>
        <v>1140</v>
      </c>
      <c r="R15" s="40">
        <v>14</v>
      </c>
      <c r="S15" s="102"/>
      <c r="T15" s="38">
        <f>R15*S12</f>
        <v>3430</v>
      </c>
      <c r="U15" s="40">
        <v>0</v>
      </c>
      <c r="V15" s="102"/>
      <c r="W15" s="38">
        <v>0</v>
      </c>
      <c r="X15" s="62">
        <f t="shared" si="1"/>
        <v>814418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121262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13680</v>
      </c>
      <c r="X16" s="62">
        <f>T16+Q16+N16+K16+H16+W16</f>
        <v>134942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93978.05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93978.05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11.5</v>
      </c>
      <c r="G18" s="103"/>
      <c r="H18" s="41">
        <f t="shared" ref="H18:L18" si="6">SUM(H12:H17)</f>
        <v>1424828.5</v>
      </c>
      <c r="I18" s="41">
        <f t="shared" si="6"/>
        <v>10</v>
      </c>
      <c r="J18" s="103"/>
      <c r="K18" s="41">
        <f t="shared" si="6"/>
        <v>223200</v>
      </c>
      <c r="L18" s="41">
        <f t="shared" si="6"/>
        <v>19</v>
      </c>
      <c r="M18" s="103"/>
      <c r="N18" s="41">
        <f t="shared" ref="N18:R18" si="7">SUM(N12:N17)</f>
        <v>124773</v>
      </c>
      <c r="O18" s="41">
        <f t="shared" si="7"/>
        <v>10</v>
      </c>
      <c r="P18" s="103"/>
      <c r="Q18" s="41">
        <f t="shared" si="7"/>
        <v>2280</v>
      </c>
      <c r="R18" s="41">
        <f t="shared" si="7"/>
        <v>19</v>
      </c>
      <c r="S18" s="103"/>
      <c r="T18" s="41">
        <f t="shared" ref="T18:W18" si="8">SUM(T12:T17)</f>
        <v>4655</v>
      </c>
      <c r="U18" s="41">
        <f t="shared" si="8"/>
        <v>19</v>
      </c>
      <c r="V18" s="103"/>
      <c r="W18" s="41">
        <f t="shared" si="8"/>
        <v>13680</v>
      </c>
      <c r="X18" s="63">
        <f>T18+Q18+N18+K18+H18+W18</f>
        <v>1793416.5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112</v>
      </c>
      <c r="E20" s="39" t="s">
        <v>25</v>
      </c>
      <c r="F20" s="40">
        <v>7.95</v>
      </c>
      <c r="G20" s="101">
        <f>B45</f>
        <v>59502</v>
      </c>
      <c r="H20" s="38">
        <f>F20*G20</f>
        <v>473040.9</v>
      </c>
      <c r="I20" s="46">
        <v>3</v>
      </c>
      <c r="J20" s="101">
        <f>E45</f>
        <v>21542</v>
      </c>
      <c r="K20" s="38">
        <f>I20*J20</f>
        <v>64626</v>
      </c>
      <c r="L20" s="46">
        <v>3</v>
      </c>
      <c r="M20" s="101">
        <f>F45</f>
        <v>6345</v>
      </c>
      <c r="N20" s="38">
        <f>L20*M20</f>
        <v>19035</v>
      </c>
      <c r="O20" s="46">
        <v>3</v>
      </c>
      <c r="P20" s="101">
        <f>H45</f>
        <v>221</v>
      </c>
      <c r="Q20" s="38">
        <f>O20*P20</f>
        <v>663</v>
      </c>
      <c r="R20" s="46">
        <v>3</v>
      </c>
      <c r="S20" s="101">
        <f>I45</f>
        <v>240</v>
      </c>
      <c r="T20" s="38">
        <f>R20*S20</f>
        <v>720</v>
      </c>
      <c r="U20" s="46">
        <v>0</v>
      </c>
      <c r="V20" s="101">
        <f>SUM((G45:I45))</f>
        <v>703</v>
      </c>
      <c r="W20" s="38">
        <v>0</v>
      </c>
      <c r="X20" s="62">
        <f t="shared" si="5"/>
        <v>558084.9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119004</v>
      </c>
      <c r="I21" s="40">
        <v>2</v>
      </c>
      <c r="J21" s="102"/>
      <c r="K21" s="38">
        <f>I21*J20</f>
        <v>43084</v>
      </c>
      <c r="L21" s="40">
        <v>2</v>
      </c>
      <c r="M21" s="102"/>
      <c r="N21" s="38">
        <f>L21*M20</f>
        <v>12690</v>
      </c>
      <c r="O21" s="40">
        <v>2</v>
      </c>
      <c r="P21" s="102"/>
      <c r="Q21" s="38">
        <f>O21*P20</f>
        <v>442</v>
      </c>
      <c r="R21" s="40">
        <v>2</v>
      </c>
      <c r="S21" s="102"/>
      <c r="T21" s="38">
        <f>R21*S20</f>
        <v>480</v>
      </c>
      <c r="U21" s="40">
        <v>0</v>
      </c>
      <c r="V21" s="102"/>
      <c r="W21" s="38">
        <v>0</v>
      </c>
      <c r="X21" s="62">
        <f t="shared" si="5"/>
        <v>175700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595020</v>
      </c>
      <c r="I23" s="40">
        <v>5</v>
      </c>
      <c r="J23" s="102"/>
      <c r="K23" s="38">
        <f>I23*J20</f>
        <v>107710</v>
      </c>
      <c r="L23" s="40">
        <v>14</v>
      </c>
      <c r="M23" s="102"/>
      <c r="N23" s="38">
        <f>L23*M20</f>
        <v>88830</v>
      </c>
      <c r="O23" s="40">
        <v>5</v>
      </c>
      <c r="P23" s="102"/>
      <c r="Q23" s="38">
        <f>O23*P20</f>
        <v>1105</v>
      </c>
      <c r="R23" s="40">
        <v>14</v>
      </c>
      <c r="S23" s="102"/>
      <c r="T23" s="38">
        <f>R23*S20</f>
        <v>3360</v>
      </c>
      <c r="U23" s="40">
        <v>0</v>
      </c>
      <c r="V23" s="102"/>
      <c r="W23" s="38">
        <v>0</v>
      </c>
      <c r="X23" s="62">
        <f t="shared" si="5"/>
        <v>796025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119004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13357</v>
      </c>
      <c r="X24" s="62">
        <f>T24+Q24+N24+K24+H24+W24</f>
        <v>132361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92228.1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92228.1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11.5</v>
      </c>
      <c r="G26" s="104"/>
      <c r="H26" s="43">
        <f t="shared" ref="H26:L26" si="9">SUM(H20:H25)</f>
        <v>1398297</v>
      </c>
      <c r="I26" s="43">
        <f t="shared" si="9"/>
        <v>10</v>
      </c>
      <c r="J26" s="104"/>
      <c r="K26" s="43">
        <f t="shared" si="9"/>
        <v>215420</v>
      </c>
      <c r="L26" s="43">
        <f t="shared" si="9"/>
        <v>19</v>
      </c>
      <c r="M26" s="104"/>
      <c r="N26" s="43">
        <f t="shared" ref="N26:R26" si="10">SUM(N20:N25)</f>
        <v>120555</v>
      </c>
      <c r="O26" s="43">
        <f t="shared" si="10"/>
        <v>10</v>
      </c>
      <c r="P26" s="104"/>
      <c r="Q26" s="43">
        <f t="shared" si="10"/>
        <v>2210</v>
      </c>
      <c r="R26" s="43">
        <f t="shared" si="10"/>
        <v>19</v>
      </c>
      <c r="S26" s="104"/>
      <c r="T26" s="43">
        <f t="shared" ref="T26:W26" si="11">SUM(T20:T25)</f>
        <v>4560</v>
      </c>
      <c r="U26" s="43">
        <f t="shared" si="11"/>
        <v>19</v>
      </c>
      <c r="V26" s="104"/>
      <c r="W26" s="43">
        <f t="shared" si="11"/>
        <v>13357</v>
      </c>
      <c r="X26" s="65">
        <f>T26+Q26+N26+K26+H26+W26</f>
        <v>1754399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13567.89</v>
      </c>
      <c r="E31" s="22">
        <f t="shared" ref="E31:E34" si="12">X4</f>
        <v>589167.6</v>
      </c>
      <c r="F31" s="22">
        <f t="shared" ref="F31:F34" si="13">E31-D31</f>
        <v>575599.71</v>
      </c>
      <c r="G31" s="22">
        <f t="shared" ref="G31:G34" si="14">X12</f>
        <v>570096.44999999995</v>
      </c>
      <c r="H31" s="22">
        <f t="shared" ref="H31:H34" si="15">G31-D31</f>
        <v>556528.56000000006</v>
      </c>
      <c r="I31" s="22">
        <f t="shared" ref="I31:I34" si="16">X20</f>
        <v>558084.9</v>
      </c>
      <c r="J31" s="50">
        <f t="shared" ref="J31:J34" si="17">I31-D31</f>
        <v>544517.01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387654.32</v>
      </c>
      <c r="E32" s="22">
        <f t="shared" si="12"/>
        <v>186040</v>
      </c>
      <c r="F32" s="22">
        <f t="shared" si="13"/>
        <v>-201614.32</v>
      </c>
      <c r="G32" s="22">
        <f t="shared" si="14"/>
        <v>179982</v>
      </c>
      <c r="H32" s="22">
        <f t="shared" si="15"/>
        <v>-207672.32000000001</v>
      </c>
      <c r="I32" s="22">
        <f t="shared" si="16"/>
        <v>175700</v>
      </c>
      <c r="J32" s="50">
        <f t="shared" si="17"/>
        <v>-211954.32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726543.21</v>
      </c>
      <c r="E33" s="22">
        <f>X7+X8</f>
        <v>980990</v>
      </c>
      <c r="F33" s="22">
        <f t="shared" si="13"/>
        <v>254446.79</v>
      </c>
      <c r="G33" s="22">
        <f>X15+X16</f>
        <v>949360</v>
      </c>
      <c r="H33" s="22">
        <f t="shared" si="15"/>
        <v>222816.79</v>
      </c>
      <c r="I33" s="22">
        <f>X23+X24</f>
        <v>928386</v>
      </c>
      <c r="J33" s="50">
        <f t="shared" si="17"/>
        <v>201842.79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342345.67</v>
      </c>
      <c r="E34" s="22">
        <f t="shared" si="12"/>
        <v>841691</v>
      </c>
      <c r="F34" s="22">
        <f t="shared" si="13"/>
        <v>499345.33</v>
      </c>
      <c r="G34" s="22">
        <f t="shared" si="14"/>
        <v>814418</v>
      </c>
      <c r="H34" s="22">
        <f t="shared" si="15"/>
        <v>472072.33</v>
      </c>
      <c r="I34" s="22">
        <f t="shared" si="16"/>
        <v>796025</v>
      </c>
      <c r="J34" s="50">
        <f t="shared" si="17"/>
        <v>453679.33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384197.54</v>
      </c>
      <c r="E35" s="22">
        <f t="shared" si="18"/>
        <v>139299</v>
      </c>
      <c r="F35" s="22">
        <f t="shared" si="18"/>
        <v>-244898.54</v>
      </c>
      <c r="G35" s="22">
        <f t="shared" si="18"/>
        <v>134942</v>
      </c>
      <c r="H35" s="22">
        <f t="shared" si="18"/>
        <v>-249255.54</v>
      </c>
      <c r="I35" s="22">
        <f t="shared" si="18"/>
        <v>132361</v>
      </c>
      <c r="J35" s="50">
        <f t="shared" si="18"/>
        <v>-251836.54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21221.21</v>
      </c>
      <c r="E36" s="22">
        <f>X9</f>
        <v>97104.4</v>
      </c>
      <c r="F36" s="22">
        <f>E36-D36</f>
        <v>75883.19</v>
      </c>
      <c r="G36" s="22">
        <f>X17</f>
        <v>93978.05</v>
      </c>
      <c r="H36" s="22">
        <f>G36-D36</f>
        <v>72756.84</v>
      </c>
      <c r="I36" s="22">
        <f>X25</f>
        <v>92228.1</v>
      </c>
      <c r="J36" s="50">
        <f>I36-D36</f>
        <v>71006.89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1148986.6299999999</v>
      </c>
      <c r="E37" s="22">
        <f>X10</f>
        <v>1853302</v>
      </c>
      <c r="F37" s="22">
        <f>E37-D37</f>
        <v>704315.37</v>
      </c>
      <c r="G37" s="22">
        <f>X18</f>
        <v>1793416.5</v>
      </c>
      <c r="H37" s="22">
        <f>G37-D37</f>
        <v>644429.87</v>
      </c>
      <c r="I37" s="22">
        <f>X26</f>
        <v>1754399</v>
      </c>
      <c r="J37" s="50">
        <f>I37-D37</f>
        <v>605412.37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761778.37</v>
      </c>
      <c r="G38" s="18"/>
      <c r="H38" s="22">
        <f>H37+C48+C49</f>
        <v>701892.87</v>
      </c>
      <c r="I38" s="18"/>
      <c r="J38" s="50">
        <f>J37+C48+C49</f>
        <v>662875.37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62648</v>
      </c>
      <c r="C43" s="21">
        <v>6901</v>
      </c>
      <c r="D43" s="25">
        <v>25123</v>
      </c>
      <c r="E43" s="21">
        <v>23098</v>
      </c>
      <c r="F43" s="21">
        <v>6789</v>
      </c>
      <c r="G43" s="21">
        <v>252</v>
      </c>
      <c r="H43" s="21">
        <v>235</v>
      </c>
      <c r="I43" s="52">
        <v>250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60631</v>
      </c>
      <c r="C44" s="21">
        <v>6679</v>
      </c>
      <c r="D44" s="25">
        <v>24345</v>
      </c>
      <c r="E44" s="21">
        <v>22320</v>
      </c>
      <c r="F44" s="21">
        <v>6567</v>
      </c>
      <c r="G44" s="21">
        <v>247</v>
      </c>
      <c r="H44" s="21">
        <v>228</v>
      </c>
      <c r="I44" s="52">
        <v>245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59502</v>
      </c>
      <c r="C45" s="28">
        <v>7345</v>
      </c>
      <c r="D45" s="29">
        <v>23567</v>
      </c>
      <c r="E45" s="21">
        <v>21542</v>
      </c>
      <c r="F45" s="21">
        <v>6345</v>
      </c>
      <c r="G45" s="28">
        <v>242</v>
      </c>
      <c r="H45" s="28">
        <v>221</v>
      </c>
      <c r="I45" s="53">
        <v>240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12130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45333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55"/>
  <sheetViews>
    <sheetView zoomScale="60" zoomScaleNormal="60" workbookViewId="0">
      <selection activeCell="D20" sqref="D20:D26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115</v>
      </c>
      <c r="C1" s="70"/>
      <c r="D1" s="70" t="s">
        <v>2</v>
      </c>
      <c r="E1" s="70" t="s">
        <v>116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117</v>
      </c>
      <c r="E4" s="39" t="s">
        <v>25</v>
      </c>
      <c r="F4" s="40">
        <v>7.95</v>
      </c>
      <c r="G4" s="101">
        <f>B43</f>
        <v>67460</v>
      </c>
      <c r="H4" s="38">
        <f>F4*G4</f>
        <v>536307</v>
      </c>
      <c r="I4" s="45">
        <v>3</v>
      </c>
      <c r="J4" s="101">
        <f>E43</f>
        <v>25157</v>
      </c>
      <c r="K4" s="38">
        <f>I4*J4</f>
        <v>75471</v>
      </c>
      <c r="L4" s="45">
        <v>3</v>
      </c>
      <c r="M4" s="101">
        <f>F43</f>
        <v>7123</v>
      </c>
      <c r="N4" s="38">
        <f>L4*M4</f>
        <v>21369</v>
      </c>
      <c r="O4" s="46">
        <v>3</v>
      </c>
      <c r="P4" s="101">
        <f>H43</f>
        <v>249</v>
      </c>
      <c r="Q4" s="38">
        <f>O4*P4</f>
        <v>747</v>
      </c>
      <c r="R4" s="46">
        <v>3</v>
      </c>
      <c r="S4" s="101">
        <f>I43</f>
        <v>265</v>
      </c>
      <c r="T4" s="38">
        <f>R4*S4</f>
        <v>795</v>
      </c>
      <c r="U4" s="46">
        <v>0</v>
      </c>
      <c r="V4" s="101">
        <f>SUM(G43:I43)</f>
        <v>789</v>
      </c>
      <c r="W4" s="38">
        <v>0</v>
      </c>
      <c r="X4" s="62">
        <f t="shared" ref="X4:X7" si="0">T4+Q4+N4+K4+H4</f>
        <v>634689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134920</v>
      </c>
      <c r="I5" s="45">
        <v>2</v>
      </c>
      <c r="J5" s="102"/>
      <c r="K5" s="38">
        <f>I5*J4</f>
        <v>50314</v>
      </c>
      <c r="L5" s="45">
        <v>2</v>
      </c>
      <c r="M5" s="102"/>
      <c r="N5" s="38">
        <f>L5*M4</f>
        <v>14246</v>
      </c>
      <c r="O5" s="40">
        <v>2</v>
      </c>
      <c r="P5" s="102"/>
      <c r="Q5" s="38">
        <f>O5*P4</f>
        <v>498</v>
      </c>
      <c r="R5" s="40">
        <v>2</v>
      </c>
      <c r="S5" s="102"/>
      <c r="T5" s="38">
        <f>R5*S4</f>
        <v>530</v>
      </c>
      <c r="U5" s="40">
        <v>0</v>
      </c>
      <c r="V5" s="102"/>
      <c r="W5" s="38">
        <v>0</v>
      </c>
      <c r="X5" s="62">
        <f t="shared" si="0"/>
        <v>200508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674600</v>
      </c>
      <c r="I7" s="45">
        <v>5</v>
      </c>
      <c r="J7" s="102"/>
      <c r="K7" s="38">
        <f>I7*J4</f>
        <v>125785</v>
      </c>
      <c r="L7" s="45">
        <v>14</v>
      </c>
      <c r="M7" s="102"/>
      <c r="N7" s="38">
        <f>L7*M4</f>
        <v>99722</v>
      </c>
      <c r="O7" s="40">
        <v>5</v>
      </c>
      <c r="P7" s="102"/>
      <c r="Q7" s="38">
        <f>O7*P4</f>
        <v>1245</v>
      </c>
      <c r="R7" s="40">
        <v>14</v>
      </c>
      <c r="S7" s="102"/>
      <c r="T7" s="38">
        <f>R7*S4</f>
        <v>3710</v>
      </c>
      <c r="U7" s="40">
        <v>0</v>
      </c>
      <c r="V7" s="102"/>
      <c r="W7" s="38">
        <v>0</v>
      </c>
      <c r="X7" s="62">
        <f t="shared" si="0"/>
        <v>905062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134920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14991</v>
      </c>
      <c r="X8" s="62">
        <f>T8+Q8+N8+K8+H8+W8</f>
        <v>149911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104563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104563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11.5</v>
      </c>
      <c r="G10" s="103"/>
      <c r="H10" s="41">
        <f t="shared" ref="H10:L10" si="2">SUM(H4:H9)</f>
        <v>1585310</v>
      </c>
      <c r="I10" s="41">
        <f t="shared" si="2"/>
        <v>10</v>
      </c>
      <c r="J10" s="103"/>
      <c r="K10" s="41">
        <f t="shared" si="2"/>
        <v>251570</v>
      </c>
      <c r="L10" s="41">
        <f t="shared" si="2"/>
        <v>19</v>
      </c>
      <c r="M10" s="103"/>
      <c r="N10" s="41">
        <f t="shared" ref="N10:R10" si="3">SUM(N4:N9)</f>
        <v>135337</v>
      </c>
      <c r="O10" s="41">
        <f t="shared" si="3"/>
        <v>10</v>
      </c>
      <c r="P10" s="103"/>
      <c r="Q10" s="41">
        <f t="shared" si="3"/>
        <v>2490</v>
      </c>
      <c r="R10" s="41">
        <f t="shared" si="3"/>
        <v>19</v>
      </c>
      <c r="S10" s="103"/>
      <c r="T10" s="41">
        <f t="shared" ref="T10:W10" si="4">SUM(T4:T9)</f>
        <v>5035</v>
      </c>
      <c r="U10" s="41">
        <f t="shared" si="4"/>
        <v>19</v>
      </c>
      <c r="V10" s="103"/>
      <c r="W10" s="41">
        <f t="shared" si="4"/>
        <v>14991</v>
      </c>
      <c r="X10" s="63">
        <f>T10+Q10+N10+K10+H10+W10</f>
        <v>1994733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117</v>
      </c>
      <c r="E12" s="39" t="s">
        <v>25</v>
      </c>
      <c r="F12" s="40">
        <v>7.95</v>
      </c>
      <c r="G12" s="101">
        <f>B44</f>
        <v>65443</v>
      </c>
      <c r="H12" s="38">
        <f>F12*G12</f>
        <v>520271.85</v>
      </c>
      <c r="I12" s="46">
        <v>3</v>
      </c>
      <c r="J12" s="101">
        <f>E44</f>
        <v>24379</v>
      </c>
      <c r="K12" s="38">
        <f>I12*J12</f>
        <v>73137</v>
      </c>
      <c r="L12" s="46">
        <v>3</v>
      </c>
      <c r="M12" s="101">
        <f>F44</f>
        <v>6901</v>
      </c>
      <c r="N12" s="38">
        <f>L12*M12</f>
        <v>20703</v>
      </c>
      <c r="O12" s="46">
        <v>3</v>
      </c>
      <c r="P12" s="101">
        <f>H44</f>
        <v>242</v>
      </c>
      <c r="Q12" s="38">
        <f>O12*P12</f>
        <v>726</v>
      </c>
      <c r="R12" s="46">
        <v>3</v>
      </c>
      <c r="S12" s="101">
        <f>I44</f>
        <v>260</v>
      </c>
      <c r="T12" s="38">
        <f>R12*S12</f>
        <v>780</v>
      </c>
      <c r="U12" s="46">
        <v>0</v>
      </c>
      <c r="V12" s="101">
        <f>SUM(G44:I44)</f>
        <v>772</v>
      </c>
      <c r="W12" s="38">
        <v>0</v>
      </c>
      <c r="X12" s="62">
        <f t="shared" si="1"/>
        <v>615617.85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130886</v>
      </c>
      <c r="I13" s="40">
        <v>2</v>
      </c>
      <c r="J13" s="102"/>
      <c r="K13" s="38">
        <f>I13*J12</f>
        <v>48758</v>
      </c>
      <c r="L13" s="40">
        <v>2</v>
      </c>
      <c r="M13" s="102"/>
      <c r="N13" s="38">
        <f>L13*M12</f>
        <v>13802</v>
      </c>
      <c r="O13" s="40">
        <v>2</v>
      </c>
      <c r="P13" s="102"/>
      <c r="Q13" s="38">
        <f>O13*P12</f>
        <v>484</v>
      </c>
      <c r="R13" s="40">
        <v>2</v>
      </c>
      <c r="S13" s="102"/>
      <c r="T13" s="38">
        <f>R13*S12</f>
        <v>520</v>
      </c>
      <c r="U13" s="40">
        <v>0</v>
      </c>
      <c r="V13" s="102"/>
      <c r="W13" s="38">
        <v>0</v>
      </c>
      <c r="X13" s="62">
        <f t="shared" si="1"/>
        <v>194450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654430</v>
      </c>
      <c r="I15" s="40">
        <v>5</v>
      </c>
      <c r="J15" s="102"/>
      <c r="K15" s="38">
        <f>I15*J12</f>
        <v>121895</v>
      </c>
      <c r="L15" s="40">
        <v>14</v>
      </c>
      <c r="M15" s="102"/>
      <c r="N15" s="38">
        <f>L15*M12</f>
        <v>96614</v>
      </c>
      <c r="O15" s="40">
        <v>5</v>
      </c>
      <c r="P15" s="102"/>
      <c r="Q15" s="38">
        <f>O15*P12</f>
        <v>1210</v>
      </c>
      <c r="R15" s="40">
        <v>14</v>
      </c>
      <c r="S15" s="102"/>
      <c r="T15" s="38">
        <f>R15*S12</f>
        <v>3640</v>
      </c>
      <c r="U15" s="40">
        <v>0</v>
      </c>
      <c r="V15" s="102"/>
      <c r="W15" s="38">
        <v>0</v>
      </c>
      <c r="X15" s="62">
        <f t="shared" si="1"/>
        <v>877789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130886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14668</v>
      </c>
      <c r="X16" s="62">
        <f>T16+Q16+N16+K16+H16+W16</f>
        <v>145554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101436.65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101436.65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11.5</v>
      </c>
      <c r="G18" s="103"/>
      <c r="H18" s="41">
        <f t="shared" ref="H18:L18" si="6">SUM(H12:H17)</f>
        <v>1537910.5</v>
      </c>
      <c r="I18" s="41">
        <f t="shared" si="6"/>
        <v>10</v>
      </c>
      <c r="J18" s="103"/>
      <c r="K18" s="41">
        <f t="shared" si="6"/>
        <v>243790</v>
      </c>
      <c r="L18" s="41">
        <f t="shared" si="6"/>
        <v>19</v>
      </c>
      <c r="M18" s="103"/>
      <c r="N18" s="41">
        <f t="shared" ref="N18:R18" si="7">SUM(N12:N17)</f>
        <v>131119</v>
      </c>
      <c r="O18" s="41">
        <f t="shared" si="7"/>
        <v>10</v>
      </c>
      <c r="P18" s="103"/>
      <c r="Q18" s="41">
        <f t="shared" si="7"/>
        <v>2420</v>
      </c>
      <c r="R18" s="41">
        <f t="shared" si="7"/>
        <v>19</v>
      </c>
      <c r="S18" s="103"/>
      <c r="T18" s="41">
        <f t="shared" ref="T18:W18" si="8">SUM(T12:T17)</f>
        <v>4940</v>
      </c>
      <c r="U18" s="41">
        <f t="shared" si="8"/>
        <v>19</v>
      </c>
      <c r="V18" s="103"/>
      <c r="W18" s="41">
        <f t="shared" si="8"/>
        <v>14668</v>
      </c>
      <c r="X18" s="63">
        <f>T18+Q18+N18+K18+H18+W18</f>
        <v>1934847.5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117</v>
      </c>
      <c r="E20" s="39" t="s">
        <v>25</v>
      </c>
      <c r="F20" s="40">
        <v>7.95</v>
      </c>
      <c r="G20" s="101">
        <f>B45</f>
        <v>63635</v>
      </c>
      <c r="H20" s="38">
        <f>F20*G20</f>
        <v>505898.25</v>
      </c>
      <c r="I20" s="46">
        <v>3</v>
      </c>
      <c r="J20" s="101">
        <f>E45</f>
        <v>23601</v>
      </c>
      <c r="K20" s="38">
        <f>I20*J20</f>
        <v>70803</v>
      </c>
      <c r="L20" s="46">
        <v>3</v>
      </c>
      <c r="M20" s="101">
        <f>F45</f>
        <v>6890</v>
      </c>
      <c r="N20" s="38">
        <f>L20*M20</f>
        <v>20670</v>
      </c>
      <c r="O20" s="46">
        <v>3</v>
      </c>
      <c r="P20" s="101">
        <f>H45</f>
        <v>240</v>
      </c>
      <c r="Q20" s="38">
        <f>O20*P20</f>
        <v>720</v>
      </c>
      <c r="R20" s="46">
        <v>3</v>
      </c>
      <c r="S20" s="101">
        <f>I45</f>
        <v>255</v>
      </c>
      <c r="T20" s="38">
        <f>R20*S20</f>
        <v>765</v>
      </c>
      <c r="U20" s="46">
        <v>0</v>
      </c>
      <c r="V20" s="101">
        <f>SUM((G45:I45))</f>
        <v>754</v>
      </c>
      <c r="W20" s="38">
        <v>0</v>
      </c>
      <c r="X20" s="62">
        <f t="shared" si="5"/>
        <v>598856.25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127270</v>
      </c>
      <c r="I21" s="40">
        <v>2</v>
      </c>
      <c r="J21" s="102"/>
      <c r="K21" s="38">
        <f>I21*J20</f>
        <v>47202</v>
      </c>
      <c r="L21" s="40">
        <v>2</v>
      </c>
      <c r="M21" s="102"/>
      <c r="N21" s="38">
        <f>L21*M20</f>
        <v>13780</v>
      </c>
      <c r="O21" s="40">
        <v>2</v>
      </c>
      <c r="P21" s="102"/>
      <c r="Q21" s="38">
        <f>O21*P20</f>
        <v>480</v>
      </c>
      <c r="R21" s="40">
        <v>2</v>
      </c>
      <c r="S21" s="102"/>
      <c r="T21" s="38">
        <f>R21*S20</f>
        <v>510</v>
      </c>
      <c r="U21" s="40">
        <v>0</v>
      </c>
      <c r="V21" s="102"/>
      <c r="W21" s="38">
        <v>0</v>
      </c>
      <c r="X21" s="62">
        <f t="shared" si="5"/>
        <v>189242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636350</v>
      </c>
      <c r="I23" s="40">
        <v>5</v>
      </c>
      <c r="J23" s="102"/>
      <c r="K23" s="38">
        <f>I23*J20</f>
        <v>118005</v>
      </c>
      <c r="L23" s="40">
        <v>14</v>
      </c>
      <c r="M23" s="102"/>
      <c r="N23" s="38">
        <f>L23*M20</f>
        <v>96460</v>
      </c>
      <c r="O23" s="40">
        <v>5</v>
      </c>
      <c r="P23" s="102"/>
      <c r="Q23" s="38">
        <f>O23*P20</f>
        <v>1200</v>
      </c>
      <c r="R23" s="40">
        <v>14</v>
      </c>
      <c r="S23" s="102"/>
      <c r="T23" s="38">
        <f>R23*S20</f>
        <v>3570</v>
      </c>
      <c r="U23" s="40">
        <v>0</v>
      </c>
      <c r="V23" s="102"/>
      <c r="W23" s="38">
        <v>0</v>
      </c>
      <c r="X23" s="62">
        <f t="shared" si="5"/>
        <v>855585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127270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14326</v>
      </c>
      <c r="X24" s="62">
        <f>T24+Q24+N24+K24+H24+W24</f>
        <v>141596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98634.25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98634.25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11.5</v>
      </c>
      <c r="G26" s="104"/>
      <c r="H26" s="43">
        <f t="shared" ref="H26:L26" si="9">SUM(H20:H25)</f>
        <v>1495422.5</v>
      </c>
      <c r="I26" s="43">
        <f t="shared" si="9"/>
        <v>10</v>
      </c>
      <c r="J26" s="104"/>
      <c r="K26" s="43">
        <f t="shared" si="9"/>
        <v>236010</v>
      </c>
      <c r="L26" s="43">
        <f t="shared" si="9"/>
        <v>19</v>
      </c>
      <c r="M26" s="104"/>
      <c r="N26" s="43">
        <f t="shared" ref="N26:R26" si="10">SUM(N20:N25)</f>
        <v>130910</v>
      </c>
      <c r="O26" s="43">
        <f t="shared" si="10"/>
        <v>10</v>
      </c>
      <c r="P26" s="104"/>
      <c r="Q26" s="43">
        <f t="shared" si="10"/>
        <v>2400</v>
      </c>
      <c r="R26" s="43">
        <f t="shared" si="10"/>
        <v>19</v>
      </c>
      <c r="S26" s="104"/>
      <c r="T26" s="43">
        <f t="shared" ref="T26:W26" si="11">SUM(T20:T25)</f>
        <v>4845</v>
      </c>
      <c r="U26" s="43">
        <f t="shared" si="11"/>
        <v>19</v>
      </c>
      <c r="V26" s="104"/>
      <c r="W26" s="43">
        <f t="shared" si="11"/>
        <v>14326</v>
      </c>
      <c r="X26" s="65">
        <f>T26+Q26+N26+K26+H26+W26</f>
        <v>1883913.5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393210.98</v>
      </c>
      <c r="E31" s="22">
        <f t="shared" ref="E31:E34" si="12">X4</f>
        <v>634689</v>
      </c>
      <c r="F31" s="22">
        <f t="shared" ref="F31:F34" si="13">E31-D31</f>
        <v>241478.02</v>
      </c>
      <c r="G31" s="22">
        <f t="shared" ref="G31:G34" si="14">X12</f>
        <v>615617.85</v>
      </c>
      <c r="H31" s="22">
        <f t="shared" ref="H31:H34" si="15">G31-D31</f>
        <v>222406.87</v>
      </c>
      <c r="I31" s="22">
        <f t="shared" ref="I31:I34" si="16">X20</f>
        <v>598856.25</v>
      </c>
      <c r="J31" s="50">
        <f t="shared" ref="J31:J34" si="17">I31-D31</f>
        <v>205645.27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79321.09</v>
      </c>
      <c r="E32" s="22">
        <f t="shared" si="12"/>
        <v>200508</v>
      </c>
      <c r="F32" s="22">
        <f t="shared" si="13"/>
        <v>121186.91</v>
      </c>
      <c r="G32" s="22">
        <f t="shared" si="14"/>
        <v>194450</v>
      </c>
      <c r="H32" s="22">
        <f t="shared" si="15"/>
        <v>115128.91</v>
      </c>
      <c r="I32" s="22">
        <f t="shared" si="16"/>
        <v>189242</v>
      </c>
      <c r="J32" s="50">
        <f t="shared" si="17"/>
        <v>109920.91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346789.01</v>
      </c>
      <c r="E33" s="22">
        <f>X7+X8</f>
        <v>1054973</v>
      </c>
      <c r="F33" s="22">
        <f t="shared" si="13"/>
        <v>708183.99</v>
      </c>
      <c r="G33" s="22">
        <f>X15+X16</f>
        <v>1023343</v>
      </c>
      <c r="H33" s="22">
        <f t="shared" si="15"/>
        <v>676553.99</v>
      </c>
      <c r="I33" s="22">
        <f>X23+X24</f>
        <v>997181</v>
      </c>
      <c r="J33" s="50">
        <f t="shared" si="17"/>
        <v>650391.99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322203.15000000002</v>
      </c>
      <c r="E34" s="22">
        <f t="shared" si="12"/>
        <v>905062</v>
      </c>
      <c r="F34" s="22">
        <f t="shared" si="13"/>
        <v>582858.85</v>
      </c>
      <c r="G34" s="22">
        <f t="shared" si="14"/>
        <v>877789</v>
      </c>
      <c r="H34" s="22">
        <f t="shared" si="15"/>
        <v>555585.85</v>
      </c>
      <c r="I34" s="22">
        <f t="shared" si="16"/>
        <v>855585</v>
      </c>
      <c r="J34" s="50">
        <f t="shared" si="17"/>
        <v>533381.85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24585.86</v>
      </c>
      <c r="E35" s="22">
        <f t="shared" si="18"/>
        <v>149911</v>
      </c>
      <c r="F35" s="22">
        <f t="shared" si="18"/>
        <v>125325.14</v>
      </c>
      <c r="G35" s="22">
        <f t="shared" si="18"/>
        <v>145554</v>
      </c>
      <c r="H35" s="22">
        <f t="shared" si="18"/>
        <v>120968.14</v>
      </c>
      <c r="I35" s="22">
        <f t="shared" si="18"/>
        <v>141596</v>
      </c>
      <c r="J35" s="50">
        <f t="shared" si="18"/>
        <v>117010.14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74">
        <v>32220.15</v>
      </c>
      <c r="E36" s="22">
        <f>X9</f>
        <v>104563</v>
      </c>
      <c r="F36" s="22">
        <f>E36-D36</f>
        <v>72342.850000000006</v>
      </c>
      <c r="G36" s="22">
        <f>X17</f>
        <v>101436.65</v>
      </c>
      <c r="H36" s="22">
        <f>G36-D36</f>
        <v>69216.5</v>
      </c>
      <c r="I36" s="22">
        <f>X25</f>
        <v>98634.25</v>
      </c>
      <c r="J36" s="50">
        <f>I36-D36</f>
        <v>66414.100000000006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851541.23</v>
      </c>
      <c r="E37" s="22">
        <f>X10</f>
        <v>1994733</v>
      </c>
      <c r="F37" s="22">
        <f>E37-D37</f>
        <v>1143191.77</v>
      </c>
      <c r="G37" s="22">
        <f>X18</f>
        <v>1934847.5</v>
      </c>
      <c r="H37" s="22">
        <f>G37-D37</f>
        <v>1083306.27</v>
      </c>
      <c r="I37" s="22">
        <f>X26</f>
        <v>1883913.5</v>
      </c>
      <c r="J37" s="50">
        <f>I37-D37</f>
        <v>1032372.27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1258312.77</v>
      </c>
      <c r="G38" s="18"/>
      <c r="H38" s="22">
        <f>H37+C48+C49</f>
        <v>1198427.27</v>
      </c>
      <c r="I38" s="18"/>
      <c r="J38" s="50">
        <f>J37+C48+C49</f>
        <v>1147493.27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67460</v>
      </c>
      <c r="C43" s="21">
        <v>7234</v>
      </c>
      <c r="D43" s="25">
        <v>27157</v>
      </c>
      <c r="E43" s="21">
        <v>25157</v>
      </c>
      <c r="F43" s="21">
        <v>7123</v>
      </c>
      <c r="G43" s="21">
        <v>275</v>
      </c>
      <c r="H43" s="21">
        <v>249</v>
      </c>
      <c r="I43" s="52">
        <v>265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65443</v>
      </c>
      <c r="C44" s="21">
        <v>7012</v>
      </c>
      <c r="D44" s="25">
        <v>26379</v>
      </c>
      <c r="E44" s="21">
        <v>24379</v>
      </c>
      <c r="F44" s="21">
        <v>6901</v>
      </c>
      <c r="G44" s="21">
        <v>270</v>
      </c>
      <c r="H44" s="21">
        <v>242</v>
      </c>
      <c r="I44" s="52">
        <v>260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63635</v>
      </c>
      <c r="C45" s="28">
        <v>6789</v>
      </c>
      <c r="D45" s="29">
        <v>25601</v>
      </c>
      <c r="E45" s="21">
        <v>23601</v>
      </c>
      <c r="F45" s="21">
        <v>6890</v>
      </c>
      <c r="G45" s="28">
        <v>259</v>
      </c>
      <c r="H45" s="28">
        <v>240</v>
      </c>
      <c r="I45" s="53">
        <v>255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80121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35000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55"/>
  <sheetViews>
    <sheetView zoomScale="60" zoomScaleNormal="60" workbookViewId="0">
      <selection activeCell="D20" sqref="D20:D26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118</v>
      </c>
      <c r="C1" s="70"/>
      <c r="D1" s="70" t="s">
        <v>2</v>
      </c>
      <c r="E1" s="70" t="s">
        <v>119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117</v>
      </c>
      <c r="E4" s="39" t="s">
        <v>25</v>
      </c>
      <c r="F4" s="40">
        <v>7.95</v>
      </c>
      <c r="G4" s="101">
        <f>B43</f>
        <v>62326</v>
      </c>
      <c r="H4" s="38">
        <f>F4*G4</f>
        <v>495491.7</v>
      </c>
      <c r="I4" s="45">
        <v>3</v>
      </c>
      <c r="J4" s="101">
        <f>E43</f>
        <v>23135</v>
      </c>
      <c r="K4" s="38">
        <f>I4*J4</f>
        <v>69405</v>
      </c>
      <c r="L4" s="45">
        <v>3</v>
      </c>
      <c r="M4" s="101">
        <f>F43</f>
        <v>6679</v>
      </c>
      <c r="N4" s="38">
        <f>L4*M4</f>
        <v>20037</v>
      </c>
      <c r="O4" s="46">
        <v>3</v>
      </c>
      <c r="P4" s="101">
        <f>H43</f>
        <v>230</v>
      </c>
      <c r="Q4" s="38">
        <f>O4*P4</f>
        <v>690</v>
      </c>
      <c r="R4" s="46">
        <v>3</v>
      </c>
      <c r="S4" s="101">
        <f>I43</f>
        <v>247</v>
      </c>
      <c r="T4" s="38">
        <f>R4*S4</f>
        <v>741</v>
      </c>
      <c r="U4" s="46">
        <v>0</v>
      </c>
      <c r="V4" s="101">
        <f>SUM(G43:I43)</f>
        <v>734</v>
      </c>
      <c r="W4" s="38">
        <v>0</v>
      </c>
      <c r="X4" s="62">
        <f t="shared" ref="X4:X7" si="0">T4+Q4+N4+K4+H4</f>
        <v>586364.69999999995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124652</v>
      </c>
      <c r="I5" s="45">
        <v>2</v>
      </c>
      <c r="J5" s="102"/>
      <c r="K5" s="38">
        <f>I5*J4</f>
        <v>46270</v>
      </c>
      <c r="L5" s="45">
        <v>2</v>
      </c>
      <c r="M5" s="102"/>
      <c r="N5" s="38">
        <f>L5*M4</f>
        <v>13358</v>
      </c>
      <c r="O5" s="40">
        <v>2</v>
      </c>
      <c r="P5" s="102"/>
      <c r="Q5" s="38">
        <f>O5*P4</f>
        <v>460</v>
      </c>
      <c r="R5" s="40">
        <v>2</v>
      </c>
      <c r="S5" s="102"/>
      <c r="T5" s="38">
        <f>R5*S4</f>
        <v>494</v>
      </c>
      <c r="U5" s="40">
        <v>0</v>
      </c>
      <c r="V5" s="102"/>
      <c r="W5" s="38">
        <v>0</v>
      </c>
      <c r="X5" s="62">
        <f t="shared" si="0"/>
        <v>185234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623260</v>
      </c>
      <c r="I7" s="45">
        <v>5</v>
      </c>
      <c r="J7" s="102"/>
      <c r="K7" s="38">
        <f>I7*J4</f>
        <v>115675</v>
      </c>
      <c r="L7" s="45">
        <v>14</v>
      </c>
      <c r="M7" s="102"/>
      <c r="N7" s="38">
        <f>L7*M4</f>
        <v>93506</v>
      </c>
      <c r="O7" s="40">
        <v>5</v>
      </c>
      <c r="P7" s="102"/>
      <c r="Q7" s="38">
        <f>O7*P4</f>
        <v>1150</v>
      </c>
      <c r="R7" s="40">
        <v>14</v>
      </c>
      <c r="S7" s="102"/>
      <c r="T7" s="38">
        <f>R7*S4</f>
        <v>3458</v>
      </c>
      <c r="U7" s="40">
        <v>0</v>
      </c>
      <c r="V7" s="102"/>
      <c r="W7" s="38">
        <v>0</v>
      </c>
      <c r="X7" s="62">
        <f t="shared" si="0"/>
        <v>837049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124652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13946</v>
      </c>
      <c r="X8" s="62">
        <f>T8+Q8+N8+K8+H8+W8</f>
        <v>138598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96605.3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96605.3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11.5</v>
      </c>
      <c r="G10" s="103"/>
      <c r="H10" s="41">
        <f t="shared" ref="H10:L10" si="2">SUM(H4:H9)</f>
        <v>1464661</v>
      </c>
      <c r="I10" s="41">
        <f t="shared" si="2"/>
        <v>10</v>
      </c>
      <c r="J10" s="103"/>
      <c r="K10" s="41">
        <f t="shared" si="2"/>
        <v>231350</v>
      </c>
      <c r="L10" s="41">
        <f t="shared" si="2"/>
        <v>19</v>
      </c>
      <c r="M10" s="103"/>
      <c r="N10" s="41">
        <f t="shared" ref="N10:R10" si="3">SUM(N4:N9)</f>
        <v>126901</v>
      </c>
      <c r="O10" s="41">
        <f t="shared" si="3"/>
        <v>10</v>
      </c>
      <c r="P10" s="103"/>
      <c r="Q10" s="41">
        <f t="shared" si="3"/>
        <v>2300</v>
      </c>
      <c r="R10" s="41">
        <f t="shared" si="3"/>
        <v>19</v>
      </c>
      <c r="S10" s="103"/>
      <c r="T10" s="41">
        <f t="shared" ref="T10:W10" si="4">SUM(T4:T9)</f>
        <v>4693</v>
      </c>
      <c r="U10" s="41">
        <f t="shared" si="4"/>
        <v>19</v>
      </c>
      <c r="V10" s="103"/>
      <c r="W10" s="41">
        <f t="shared" si="4"/>
        <v>13946</v>
      </c>
      <c r="X10" s="63">
        <f>T10+Q10+N10+K10+H10+W10</f>
        <v>1843851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117</v>
      </c>
      <c r="E12" s="39" t="s">
        <v>25</v>
      </c>
      <c r="F12" s="40">
        <v>7.95</v>
      </c>
      <c r="G12" s="101">
        <f>B44</f>
        <v>68299</v>
      </c>
      <c r="H12" s="38">
        <f>F12*G12</f>
        <v>542977.05000000005</v>
      </c>
      <c r="I12" s="46">
        <v>3</v>
      </c>
      <c r="J12" s="101">
        <f>E44</f>
        <v>25923</v>
      </c>
      <c r="K12" s="38">
        <f>I12*J12</f>
        <v>77769</v>
      </c>
      <c r="L12" s="46">
        <v>3</v>
      </c>
      <c r="M12" s="101">
        <f>F44</f>
        <v>7345</v>
      </c>
      <c r="N12" s="38">
        <f>L12*M12</f>
        <v>22035</v>
      </c>
      <c r="O12" s="46">
        <v>3</v>
      </c>
      <c r="P12" s="101">
        <f>H44</f>
        <v>255</v>
      </c>
      <c r="Q12" s="38">
        <f>O12*P12</f>
        <v>765</v>
      </c>
      <c r="R12" s="46">
        <v>3</v>
      </c>
      <c r="S12" s="101">
        <f>I44</f>
        <v>269</v>
      </c>
      <c r="T12" s="38">
        <f>R12*S12</f>
        <v>807</v>
      </c>
      <c r="U12" s="46">
        <v>0</v>
      </c>
      <c r="V12" s="101">
        <f>SUM(G44:I44)</f>
        <v>803</v>
      </c>
      <c r="W12" s="38">
        <v>0</v>
      </c>
      <c r="X12" s="62">
        <f t="shared" si="1"/>
        <v>644353.05000000005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136598</v>
      </c>
      <c r="I13" s="40">
        <v>2</v>
      </c>
      <c r="J13" s="102"/>
      <c r="K13" s="38">
        <f>I13*J12</f>
        <v>51846</v>
      </c>
      <c r="L13" s="40">
        <v>2</v>
      </c>
      <c r="M13" s="102"/>
      <c r="N13" s="38">
        <f>L13*M12</f>
        <v>14690</v>
      </c>
      <c r="O13" s="40">
        <v>2</v>
      </c>
      <c r="P13" s="102"/>
      <c r="Q13" s="38">
        <f>O13*P12</f>
        <v>510</v>
      </c>
      <c r="R13" s="40">
        <v>2</v>
      </c>
      <c r="S13" s="102"/>
      <c r="T13" s="38">
        <f>R13*S12</f>
        <v>538</v>
      </c>
      <c r="U13" s="40">
        <v>0</v>
      </c>
      <c r="V13" s="102"/>
      <c r="W13" s="38">
        <v>0</v>
      </c>
      <c r="X13" s="62">
        <f t="shared" si="1"/>
        <v>204182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682990</v>
      </c>
      <c r="I15" s="40">
        <v>5</v>
      </c>
      <c r="J15" s="102"/>
      <c r="K15" s="38">
        <f>I15*J12</f>
        <v>129615</v>
      </c>
      <c r="L15" s="40">
        <v>14</v>
      </c>
      <c r="M15" s="102"/>
      <c r="N15" s="38">
        <f>L15*M12</f>
        <v>102830</v>
      </c>
      <c r="O15" s="40">
        <v>5</v>
      </c>
      <c r="P15" s="102"/>
      <c r="Q15" s="38">
        <f>O15*P12</f>
        <v>1275</v>
      </c>
      <c r="R15" s="40">
        <v>14</v>
      </c>
      <c r="S15" s="102"/>
      <c r="T15" s="38">
        <f>R15*S12</f>
        <v>3766</v>
      </c>
      <c r="U15" s="40">
        <v>0</v>
      </c>
      <c r="V15" s="102"/>
      <c r="W15" s="38">
        <v>0</v>
      </c>
      <c r="X15" s="62">
        <f t="shared" si="1"/>
        <v>920476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136598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15257</v>
      </c>
      <c r="X16" s="62">
        <f>T16+Q16+N16+K16+H16+W16</f>
        <v>151855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105863.45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105863.45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11.5</v>
      </c>
      <c r="G18" s="103"/>
      <c r="H18" s="41">
        <f t="shared" ref="H18:L18" si="6">SUM(H12:H17)</f>
        <v>1605026.5</v>
      </c>
      <c r="I18" s="41">
        <f t="shared" si="6"/>
        <v>10</v>
      </c>
      <c r="J18" s="103"/>
      <c r="K18" s="41">
        <f t="shared" si="6"/>
        <v>259230</v>
      </c>
      <c r="L18" s="41">
        <f t="shared" si="6"/>
        <v>19</v>
      </c>
      <c r="M18" s="103"/>
      <c r="N18" s="41">
        <f t="shared" ref="N18:R18" si="7">SUM(N12:N17)</f>
        <v>139555</v>
      </c>
      <c r="O18" s="41">
        <f t="shared" si="7"/>
        <v>10</v>
      </c>
      <c r="P18" s="103"/>
      <c r="Q18" s="41">
        <f t="shared" si="7"/>
        <v>2550</v>
      </c>
      <c r="R18" s="41">
        <f t="shared" si="7"/>
        <v>19</v>
      </c>
      <c r="S18" s="103"/>
      <c r="T18" s="41">
        <f t="shared" ref="T18:W18" si="8">SUM(T12:T17)</f>
        <v>5111</v>
      </c>
      <c r="U18" s="41">
        <f t="shared" si="8"/>
        <v>19</v>
      </c>
      <c r="V18" s="103"/>
      <c r="W18" s="41">
        <f t="shared" si="8"/>
        <v>15257</v>
      </c>
      <c r="X18" s="63">
        <f>T18+Q18+N18+K18+H18+W18</f>
        <v>2026729.5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117</v>
      </c>
      <c r="E20" s="39" t="s">
        <v>25</v>
      </c>
      <c r="F20" s="40">
        <v>7.95</v>
      </c>
      <c r="G20" s="101">
        <f>B45</f>
        <v>67322</v>
      </c>
      <c r="H20" s="38">
        <f>F20*G20</f>
        <v>535209.9</v>
      </c>
      <c r="I20" s="46">
        <v>3</v>
      </c>
      <c r="J20" s="101">
        <f>E45</f>
        <v>25145</v>
      </c>
      <c r="K20" s="38">
        <f>I20*J20</f>
        <v>75435</v>
      </c>
      <c r="L20" s="46">
        <v>3</v>
      </c>
      <c r="M20" s="101">
        <f>F45</f>
        <v>7123</v>
      </c>
      <c r="N20" s="38">
        <f>L20*M20</f>
        <v>21369</v>
      </c>
      <c r="O20" s="46">
        <v>3</v>
      </c>
      <c r="P20" s="101">
        <f>H45</f>
        <v>248</v>
      </c>
      <c r="Q20" s="38">
        <f>O20*P20</f>
        <v>744</v>
      </c>
      <c r="R20" s="46">
        <v>3</v>
      </c>
      <c r="S20" s="101">
        <f>I45</f>
        <v>264</v>
      </c>
      <c r="T20" s="38">
        <f>R20*S20</f>
        <v>792</v>
      </c>
      <c r="U20" s="46">
        <v>0</v>
      </c>
      <c r="V20" s="101">
        <f>SUM((G45:I45))</f>
        <v>786</v>
      </c>
      <c r="W20" s="38">
        <v>0</v>
      </c>
      <c r="X20" s="62">
        <f t="shared" si="5"/>
        <v>633549.9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134644</v>
      </c>
      <c r="I21" s="40">
        <v>2</v>
      </c>
      <c r="J21" s="102"/>
      <c r="K21" s="38">
        <f>I21*J20</f>
        <v>50290</v>
      </c>
      <c r="L21" s="40">
        <v>2</v>
      </c>
      <c r="M21" s="102"/>
      <c r="N21" s="38">
        <f>L21*M20</f>
        <v>14246</v>
      </c>
      <c r="O21" s="40">
        <v>2</v>
      </c>
      <c r="P21" s="102"/>
      <c r="Q21" s="38">
        <f>O21*P20</f>
        <v>496</v>
      </c>
      <c r="R21" s="40">
        <v>2</v>
      </c>
      <c r="S21" s="102"/>
      <c r="T21" s="38">
        <f>R21*S20</f>
        <v>528</v>
      </c>
      <c r="U21" s="40">
        <v>0</v>
      </c>
      <c r="V21" s="102"/>
      <c r="W21" s="38">
        <v>0</v>
      </c>
      <c r="X21" s="62">
        <f t="shared" si="5"/>
        <v>200204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673220</v>
      </c>
      <c r="I23" s="40">
        <v>5</v>
      </c>
      <c r="J23" s="102"/>
      <c r="K23" s="38">
        <f>I23*J20</f>
        <v>125725</v>
      </c>
      <c r="L23" s="40">
        <v>14</v>
      </c>
      <c r="M23" s="102"/>
      <c r="N23" s="38">
        <f>L23*M20</f>
        <v>99722</v>
      </c>
      <c r="O23" s="40">
        <v>5</v>
      </c>
      <c r="P23" s="102"/>
      <c r="Q23" s="38">
        <f>O23*P20</f>
        <v>1240</v>
      </c>
      <c r="R23" s="40">
        <v>14</v>
      </c>
      <c r="S23" s="102"/>
      <c r="T23" s="38">
        <f>R23*S20</f>
        <v>3696</v>
      </c>
      <c r="U23" s="40">
        <v>0</v>
      </c>
      <c r="V23" s="102"/>
      <c r="W23" s="38">
        <v>0</v>
      </c>
      <c r="X23" s="62">
        <f t="shared" si="5"/>
        <v>903603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134644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14934</v>
      </c>
      <c r="X24" s="62">
        <f>T24+Q24+N24+K24+H24+W24</f>
        <v>149578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104349.1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104349.1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11.5</v>
      </c>
      <c r="G26" s="104"/>
      <c r="H26" s="43">
        <f t="shared" ref="H26:L26" si="9">SUM(H20:H25)</f>
        <v>1582067</v>
      </c>
      <c r="I26" s="43">
        <f t="shared" si="9"/>
        <v>10</v>
      </c>
      <c r="J26" s="104"/>
      <c r="K26" s="43">
        <f t="shared" si="9"/>
        <v>251450</v>
      </c>
      <c r="L26" s="43">
        <f t="shared" si="9"/>
        <v>19</v>
      </c>
      <c r="M26" s="104"/>
      <c r="N26" s="43">
        <f t="shared" ref="N26:R26" si="10">SUM(N20:N25)</f>
        <v>135337</v>
      </c>
      <c r="O26" s="43">
        <f t="shared" si="10"/>
        <v>10</v>
      </c>
      <c r="P26" s="104"/>
      <c r="Q26" s="43">
        <f t="shared" si="10"/>
        <v>2480</v>
      </c>
      <c r="R26" s="43">
        <f t="shared" si="10"/>
        <v>19</v>
      </c>
      <c r="S26" s="104"/>
      <c r="T26" s="43">
        <f t="shared" ref="T26:W26" si="11">SUM(T20:T25)</f>
        <v>5016</v>
      </c>
      <c r="U26" s="43">
        <f t="shared" si="11"/>
        <v>19</v>
      </c>
      <c r="V26" s="104"/>
      <c r="W26" s="43">
        <f t="shared" si="11"/>
        <v>14934</v>
      </c>
      <c r="X26" s="65">
        <f>T26+Q26+N26+K26+H26+W26</f>
        <v>1991284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394321.09</v>
      </c>
      <c r="E31" s="22">
        <f t="shared" ref="E31:E34" si="12">X4</f>
        <v>586364.69999999995</v>
      </c>
      <c r="F31" s="22">
        <f t="shared" ref="F31:F34" si="13">E31-D31</f>
        <v>192043.61</v>
      </c>
      <c r="G31" s="22">
        <f t="shared" ref="G31:G34" si="14">X12</f>
        <v>644353.05000000005</v>
      </c>
      <c r="H31" s="22">
        <f t="shared" ref="H31:H34" si="15">G31-D31</f>
        <v>250031.96</v>
      </c>
      <c r="I31" s="22">
        <f t="shared" ref="I31:I34" si="16">X20</f>
        <v>633549.9</v>
      </c>
      <c r="J31" s="50">
        <f t="shared" ref="J31:J34" si="17">I31-D31</f>
        <v>239228.81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79432.100000000006</v>
      </c>
      <c r="E32" s="22">
        <f t="shared" si="12"/>
        <v>185234</v>
      </c>
      <c r="F32" s="22">
        <f t="shared" si="13"/>
        <v>105801.9</v>
      </c>
      <c r="G32" s="22">
        <f t="shared" si="14"/>
        <v>204182</v>
      </c>
      <c r="H32" s="22">
        <f t="shared" si="15"/>
        <v>124749.9</v>
      </c>
      <c r="I32" s="22">
        <f t="shared" si="16"/>
        <v>200204</v>
      </c>
      <c r="J32" s="50">
        <f t="shared" si="17"/>
        <v>120771.9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347654.32</v>
      </c>
      <c r="E33" s="22">
        <f>X7+X8</f>
        <v>975647</v>
      </c>
      <c r="F33" s="22">
        <f t="shared" si="13"/>
        <v>627992.68000000005</v>
      </c>
      <c r="G33" s="22">
        <f>X15+X16</f>
        <v>1072331</v>
      </c>
      <c r="H33" s="22">
        <f t="shared" si="15"/>
        <v>724676.68</v>
      </c>
      <c r="I33" s="22">
        <f>X23+X24</f>
        <v>1053181</v>
      </c>
      <c r="J33" s="50">
        <f t="shared" si="17"/>
        <v>705526.68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323397.59000000003</v>
      </c>
      <c r="E34" s="22">
        <f t="shared" si="12"/>
        <v>837049</v>
      </c>
      <c r="F34" s="22">
        <f t="shared" si="13"/>
        <v>513651.41</v>
      </c>
      <c r="G34" s="22">
        <f t="shared" si="14"/>
        <v>920476</v>
      </c>
      <c r="H34" s="22">
        <f t="shared" si="15"/>
        <v>597078.41</v>
      </c>
      <c r="I34" s="22">
        <f t="shared" si="16"/>
        <v>903603</v>
      </c>
      <c r="J34" s="50">
        <f t="shared" si="17"/>
        <v>580205.41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24256.73</v>
      </c>
      <c r="E35" s="22">
        <f t="shared" si="18"/>
        <v>138598</v>
      </c>
      <c r="F35" s="22">
        <f t="shared" si="18"/>
        <v>114341.27</v>
      </c>
      <c r="G35" s="22">
        <f t="shared" si="18"/>
        <v>151855</v>
      </c>
      <c r="H35" s="22">
        <f t="shared" si="18"/>
        <v>127598.27</v>
      </c>
      <c r="I35" s="22">
        <f t="shared" si="18"/>
        <v>149578</v>
      </c>
      <c r="J35" s="50">
        <f t="shared" si="18"/>
        <v>125321.27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74">
        <v>132220.15</v>
      </c>
      <c r="E36" s="22">
        <f>X9</f>
        <v>96605.3</v>
      </c>
      <c r="F36" s="22">
        <f>E36-D36</f>
        <v>-35614.85</v>
      </c>
      <c r="G36" s="22">
        <f>X17</f>
        <v>105863.45</v>
      </c>
      <c r="H36" s="22">
        <f>G36-D36</f>
        <v>-26356.7</v>
      </c>
      <c r="I36" s="22">
        <f>X25</f>
        <v>104349.1</v>
      </c>
      <c r="J36" s="50">
        <f>I36-D36</f>
        <v>-27871.05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953627.66</v>
      </c>
      <c r="E37" s="22">
        <f>X10</f>
        <v>1843851</v>
      </c>
      <c r="F37" s="22">
        <f>E37-D37</f>
        <v>890223.34</v>
      </c>
      <c r="G37" s="22">
        <f>X18</f>
        <v>2026729.5</v>
      </c>
      <c r="H37" s="22">
        <f>G37-D37</f>
        <v>1073101.8400000001</v>
      </c>
      <c r="I37" s="22">
        <f>X26</f>
        <v>1991284</v>
      </c>
      <c r="J37" s="50">
        <f>I37-D37</f>
        <v>1037656.34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936244.34</v>
      </c>
      <c r="G38" s="18"/>
      <c r="H38" s="22">
        <f>H37+C48+C49</f>
        <v>1119122.8400000001</v>
      </c>
      <c r="I38" s="18"/>
      <c r="J38" s="50">
        <f>J37+C48+C49</f>
        <v>1083677.3400000001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62326</v>
      </c>
      <c r="C43" s="21">
        <v>6543</v>
      </c>
      <c r="D43" s="25">
        <v>25235</v>
      </c>
      <c r="E43" s="21">
        <v>23135</v>
      </c>
      <c r="F43" s="21">
        <v>6679</v>
      </c>
      <c r="G43" s="21">
        <v>257</v>
      </c>
      <c r="H43" s="21">
        <v>230</v>
      </c>
      <c r="I43" s="52">
        <v>247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68299</v>
      </c>
      <c r="C44" s="21">
        <v>6305</v>
      </c>
      <c r="D44" s="25">
        <v>27923</v>
      </c>
      <c r="E44" s="21">
        <v>25923</v>
      </c>
      <c r="F44" s="21">
        <v>7345</v>
      </c>
      <c r="G44" s="21">
        <v>279</v>
      </c>
      <c r="H44" s="21">
        <v>255</v>
      </c>
      <c r="I44" s="52">
        <v>269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67322</v>
      </c>
      <c r="C45" s="28">
        <v>7123</v>
      </c>
      <c r="D45" s="29">
        <v>27145</v>
      </c>
      <c r="E45" s="21">
        <v>25145</v>
      </c>
      <c r="F45" s="21">
        <v>7123</v>
      </c>
      <c r="G45" s="28">
        <v>274</v>
      </c>
      <c r="H45" s="28">
        <v>248</v>
      </c>
      <c r="I45" s="53">
        <v>264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41021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5000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55"/>
  <sheetViews>
    <sheetView zoomScale="60" zoomScaleNormal="60" workbookViewId="0">
      <selection activeCell="D20" sqref="D20:D26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120</v>
      </c>
      <c r="C1" s="70"/>
      <c r="D1" s="70" t="s">
        <v>2</v>
      </c>
      <c r="E1" s="70" t="s">
        <v>121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117</v>
      </c>
      <c r="E4" s="39" t="s">
        <v>25</v>
      </c>
      <c r="F4" s="40">
        <v>7.95</v>
      </c>
      <c r="G4" s="101">
        <f>B43</f>
        <v>62763</v>
      </c>
      <c r="H4" s="38">
        <f>F4*G4</f>
        <v>498965.85</v>
      </c>
      <c r="I4" s="45">
        <v>3</v>
      </c>
      <c r="J4" s="101">
        <f>E43</f>
        <v>23123</v>
      </c>
      <c r="K4" s="38">
        <f>I4*J4</f>
        <v>69369</v>
      </c>
      <c r="L4" s="45">
        <v>3</v>
      </c>
      <c r="M4" s="101">
        <f>F43</f>
        <v>6679</v>
      </c>
      <c r="N4" s="38">
        <f>L4*M4</f>
        <v>20037</v>
      </c>
      <c r="O4" s="46">
        <v>3</v>
      </c>
      <c r="P4" s="101">
        <f>H43</f>
        <v>231</v>
      </c>
      <c r="Q4" s="38">
        <f>O4*P4</f>
        <v>693</v>
      </c>
      <c r="R4" s="46">
        <v>3</v>
      </c>
      <c r="S4" s="101">
        <f>I43</f>
        <v>248</v>
      </c>
      <c r="T4" s="38">
        <f>R4*S4</f>
        <v>744</v>
      </c>
      <c r="U4" s="46">
        <v>0</v>
      </c>
      <c r="V4" s="101">
        <f>SUM(G43:I43)</f>
        <v>737</v>
      </c>
      <c r="W4" s="38">
        <v>0</v>
      </c>
      <c r="X4" s="62">
        <f t="shared" ref="X4:X7" si="0">T4+Q4+N4+K4+H4</f>
        <v>589808.85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125526</v>
      </c>
      <c r="I5" s="45">
        <v>2</v>
      </c>
      <c r="J5" s="102"/>
      <c r="K5" s="38">
        <f>I5*J4</f>
        <v>46246</v>
      </c>
      <c r="L5" s="45">
        <v>2</v>
      </c>
      <c r="M5" s="102"/>
      <c r="N5" s="38">
        <f>L5*M4</f>
        <v>13358</v>
      </c>
      <c r="O5" s="40">
        <v>2</v>
      </c>
      <c r="P5" s="102"/>
      <c r="Q5" s="38">
        <f>O5*P4</f>
        <v>462</v>
      </c>
      <c r="R5" s="40">
        <v>2</v>
      </c>
      <c r="S5" s="102"/>
      <c r="T5" s="38">
        <f>R5*S4</f>
        <v>496</v>
      </c>
      <c r="U5" s="40">
        <v>0</v>
      </c>
      <c r="V5" s="102"/>
      <c r="W5" s="38">
        <v>0</v>
      </c>
      <c r="X5" s="62">
        <f t="shared" si="0"/>
        <v>186088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627630</v>
      </c>
      <c r="I7" s="45">
        <v>5</v>
      </c>
      <c r="J7" s="102"/>
      <c r="K7" s="38">
        <f>I7*J4</f>
        <v>115615</v>
      </c>
      <c r="L7" s="45">
        <v>14</v>
      </c>
      <c r="M7" s="102"/>
      <c r="N7" s="38">
        <f>L7*M4</f>
        <v>93506</v>
      </c>
      <c r="O7" s="40">
        <v>5</v>
      </c>
      <c r="P7" s="102"/>
      <c r="Q7" s="38">
        <f>O7*P4</f>
        <v>1155</v>
      </c>
      <c r="R7" s="40">
        <v>14</v>
      </c>
      <c r="S7" s="102"/>
      <c r="T7" s="38">
        <f>R7*S4</f>
        <v>3472</v>
      </c>
      <c r="U7" s="40">
        <v>0</v>
      </c>
      <c r="V7" s="102"/>
      <c r="W7" s="38">
        <v>0</v>
      </c>
      <c r="X7" s="62">
        <f t="shared" si="0"/>
        <v>841378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125526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14003</v>
      </c>
      <c r="X8" s="62">
        <f>T8+Q8+N8+K8+H8+W8</f>
        <v>139529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97282.65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97282.65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11.5</v>
      </c>
      <c r="G10" s="103"/>
      <c r="H10" s="41">
        <f t="shared" ref="H10:L10" si="2">SUM(H4:H9)</f>
        <v>1474930.5</v>
      </c>
      <c r="I10" s="41">
        <f t="shared" si="2"/>
        <v>10</v>
      </c>
      <c r="J10" s="103"/>
      <c r="K10" s="41">
        <f t="shared" si="2"/>
        <v>231230</v>
      </c>
      <c r="L10" s="41">
        <f t="shared" si="2"/>
        <v>19</v>
      </c>
      <c r="M10" s="103"/>
      <c r="N10" s="41">
        <f t="shared" ref="N10:R10" si="3">SUM(N4:N9)</f>
        <v>126901</v>
      </c>
      <c r="O10" s="41">
        <f t="shared" si="3"/>
        <v>10</v>
      </c>
      <c r="P10" s="103"/>
      <c r="Q10" s="41">
        <f t="shared" si="3"/>
        <v>2310</v>
      </c>
      <c r="R10" s="41">
        <f t="shared" si="3"/>
        <v>19</v>
      </c>
      <c r="S10" s="103"/>
      <c r="T10" s="41">
        <f t="shared" ref="T10:W10" si="4">SUM(T4:T9)</f>
        <v>4712</v>
      </c>
      <c r="U10" s="41">
        <f t="shared" si="4"/>
        <v>19</v>
      </c>
      <c r="V10" s="103"/>
      <c r="W10" s="41">
        <f t="shared" si="4"/>
        <v>14003</v>
      </c>
      <c r="X10" s="63">
        <f>T10+Q10+N10+K10+H10+W10</f>
        <v>1854086.5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117</v>
      </c>
      <c r="E12" s="39" t="s">
        <v>25</v>
      </c>
      <c r="F12" s="40">
        <v>7.95</v>
      </c>
      <c r="G12" s="101">
        <f>B44</f>
        <v>68649</v>
      </c>
      <c r="H12" s="38">
        <f>F12*G12</f>
        <v>545759.55000000005</v>
      </c>
      <c r="I12" s="46">
        <v>3</v>
      </c>
      <c r="J12" s="101">
        <f>E44</f>
        <v>25912</v>
      </c>
      <c r="K12" s="38">
        <f>I12*J12</f>
        <v>77736</v>
      </c>
      <c r="L12" s="46">
        <v>3</v>
      </c>
      <c r="M12" s="101">
        <f>F44</f>
        <v>7345</v>
      </c>
      <c r="N12" s="38">
        <f>L12*M12</f>
        <v>22035</v>
      </c>
      <c r="O12" s="46">
        <v>3</v>
      </c>
      <c r="P12" s="101">
        <f>H44</f>
        <v>254</v>
      </c>
      <c r="Q12" s="38">
        <f>O12*P12</f>
        <v>762</v>
      </c>
      <c r="R12" s="46">
        <v>3</v>
      </c>
      <c r="S12" s="101">
        <f>I44</f>
        <v>269</v>
      </c>
      <c r="T12" s="38">
        <f>R12*S12</f>
        <v>807</v>
      </c>
      <c r="U12" s="46">
        <v>0</v>
      </c>
      <c r="V12" s="101">
        <f>SUM(G44:I44)</f>
        <v>802</v>
      </c>
      <c r="W12" s="38">
        <v>0</v>
      </c>
      <c r="X12" s="62">
        <f t="shared" si="1"/>
        <v>647099.55000000005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137298</v>
      </c>
      <c r="I13" s="40">
        <v>2</v>
      </c>
      <c r="J13" s="102"/>
      <c r="K13" s="38">
        <f>I13*J12</f>
        <v>51824</v>
      </c>
      <c r="L13" s="40">
        <v>2</v>
      </c>
      <c r="M13" s="102"/>
      <c r="N13" s="38">
        <f>L13*M12</f>
        <v>14690</v>
      </c>
      <c r="O13" s="40">
        <v>2</v>
      </c>
      <c r="P13" s="102"/>
      <c r="Q13" s="38">
        <f>O13*P12</f>
        <v>508</v>
      </c>
      <c r="R13" s="40">
        <v>2</v>
      </c>
      <c r="S13" s="102"/>
      <c r="T13" s="38">
        <f>R13*S12</f>
        <v>538</v>
      </c>
      <c r="U13" s="40">
        <v>0</v>
      </c>
      <c r="V13" s="102"/>
      <c r="W13" s="38">
        <v>0</v>
      </c>
      <c r="X13" s="62">
        <f t="shared" si="1"/>
        <v>204858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686490</v>
      </c>
      <c r="I15" s="40">
        <v>5</v>
      </c>
      <c r="J15" s="102"/>
      <c r="K15" s="38">
        <f>I15*J12</f>
        <v>129560</v>
      </c>
      <c r="L15" s="40">
        <v>14</v>
      </c>
      <c r="M15" s="102"/>
      <c r="N15" s="38">
        <f>L15*M12</f>
        <v>102830</v>
      </c>
      <c r="O15" s="40">
        <v>5</v>
      </c>
      <c r="P15" s="102"/>
      <c r="Q15" s="38">
        <f>O15*P12</f>
        <v>1270</v>
      </c>
      <c r="R15" s="40">
        <v>14</v>
      </c>
      <c r="S15" s="102"/>
      <c r="T15" s="38">
        <f>R15*S12</f>
        <v>3766</v>
      </c>
      <c r="U15" s="40">
        <v>0</v>
      </c>
      <c r="V15" s="102"/>
      <c r="W15" s="38">
        <v>0</v>
      </c>
      <c r="X15" s="62">
        <f t="shared" si="1"/>
        <v>923916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137298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15238</v>
      </c>
      <c r="X16" s="62">
        <f>T16+Q16+N16+K16+H16+W16</f>
        <v>152536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106405.95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106405.95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11.5</v>
      </c>
      <c r="G18" s="103"/>
      <c r="H18" s="41">
        <f t="shared" ref="H18:L18" si="6">SUM(H12:H17)</f>
        <v>1613251.5</v>
      </c>
      <c r="I18" s="41">
        <f t="shared" si="6"/>
        <v>10</v>
      </c>
      <c r="J18" s="103"/>
      <c r="K18" s="41">
        <f t="shared" si="6"/>
        <v>259120</v>
      </c>
      <c r="L18" s="41">
        <f t="shared" si="6"/>
        <v>19</v>
      </c>
      <c r="M18" s="103"/>
      <c r="N18" s="41">
        <f t="shared" ref="N18:R18" si="7">SUM(N12:N17)</f>
        <v>139555</v>
      </c>
      <c r="O18" s="41">
        <f t="shared" si="7"/>
        <v>10</v>
      </c>
      <c r="P18" s="103"/>
      <c r="Q18" s="41">
        <f t="shared" si="7"/>
        <v>2540</v>
      </c>
      <c r="R18" s="41">
        <f t="shared" si="7"/>
        <v>19</v>
      </c>
      <c r="S18" s="103"/>
      <c r="T18" s="41">
        <f t="shared" ref="T18:W18" si="8">SUM(T12:T17)</f>
        <v>5111</v>
      </c>
      <c r="U18" s="41">
        <f t="shared" si="8"/>
        <v>19</v>
      </c>
      <c r="V18" s="103"/>
      <c r="W18" s="41">
        <f t="shared" si="8"/>
        <v>15238</v>
      </c>
      <c r="X18" s="63">
        <f>T18+Q18+N18+K18+H18+W18</f>
        <v>2034815.5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117</v>
      </c>
      <c r="E20" s="39" t="s">
        <v>25</v>
      </c>
      <c r="F20" s="40">
        <v>7.95</v>
      </c>
      <c r="G20" s="101">
        <f>B45</f>
        <v>66632</v>
      </c>
      <c r="H20" s="38">
        <f>F20*G20</f>
        <v>529724.4</v>
      </c>
      <c r="I20" s="46">
        <v>3</v>
      </c>
      <c r="J20" s="101">
        <f>E45</f>
        <v>25134</v>
      </c>
      <c r="K20" s="38">
        <f>I20*J20</f>
        <v>75402</v>
      </c>
      <c r="L20" s="46">
        <v>3</v>
      </c>
      <c r="M20" s="101">
        <f>F45</f>
        <v>7123</v>
      </c>
      <c r="N20" s="38">
        <f>L20*M20</f>
        <v>21369</v>
      </c>
      <c r="O20" s="46">
        <v>3</v>
      </c>
      <c r="P20" s="101">
        <f>H45</f>
        <v>247</v>
      </c>
      <c r="Q20" s="38">
        <f>O20*P20</f>
        <v>741</v>
      </c>
      <c r="R20" s="46">
        <v>3</v>
      </c>
      <c r="S20" s="101">
        <f>I45</f>
        <v>264</v>
      </c>
      <c r="T20" s="38">
        <f>R20*S20</f>
        <v>792</v>
      </c>
      <c r="U20" s="46">
        <v>0</v>
      </c>
      <c r="V20" s="101">
        <f>SUM((G45:I45))</f>
        <v>785</v>
      </c>
      <c r="W20" s="38">
        <v>0</v>
      </c>
      <c r="X20" s="62">
        <f t="shared" si="5"/>
        <v>628028.4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133264</v>
      </c>
      <c r="I21" s="40">
        <v>2</v>
      </c>
      <c r="J21" s="102"/>
      <c r="K21" s="38">
        <f>I21*J20</f>
        <v>50268</v>
      </c>
      <c r="L21" s="40">
        <v>2</v>
      </c>
      <c r="M21" s="102"/>
      <c r="N21" s="38">
        <f>L21*M20</f>
        <v>14246</v>
      </c>
      <c r="O21" s="40">
        <v>2</v>
      </c>
      <c r="P21" s="102"/>
      <c r="Q21" s="38">
        <f>O21*P20</f>
        <v>494</v>
      </c>
      <c r="R21" s="40">
        <v>2</v>
      </c>
      <c r="S21" s="102"/>
      <c r="T21" s="38">
        <f>R21*S20</f>
        <v>528</v>
      </c>
      <c r="U21" s="40">
        <v>0</v>
      </c>
      <c r="V21" s="102"/>
      <c r="W21" s="38">
        <v>0</v>
      </c>
      <c r="X21" s="62">
        <f t="shared" si="5"/>
        <v>198800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666320</v>
      </c>
      <c r="I23" s="40">
        <v>5</v>
      </c>
      <c r="J23" s="102"/>
      <c r="K23" s="38">
        <f>I23*J20</f>
        <v>125670</v>
      </c>
      <c r="L23" s="40">
        <v>14</v>
      </c>
      <c r="M23" s="102"/>
      <c r="N23" s="38">
        <f>L23*M20</f>
        <v>99722</v>
      </c>
      <c r="O23" s="40">
        <v>5</v>
      </c>
      <c r="P23" s="102"/>
      <c r="Q23" s="38">
        <f>O23*P20</f>
        <v>1235</v>
      </c>
      <c r="R23" s="40">
        <v>14</v>
      </c>
      <c r="S23" s="102"/>
      <c r="T23" s="38">
        <f>R23*S20</f>
        <v>3696</v>
      </c>
      <c r="U23" s="40">
        <v>0</v>
      </c>
      <c r="V23" s="102"/>
      <c r="W23" s="38">
        <v>0</v>
      </c>
      <c r="X23" s="62">
        <f t="shared" si="5"/>
        <v>896643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133264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14915</v>
      </c>
      <c r="X24" s="62">
        <f>T24+Q24+N24+K24+H24+W24</f>
        <v>148179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103279.6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103279.6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11.5</v>
      </c>
      <c r="G26" s="104"/>
      <c r="H26" s="43">
        <f t="shared" ref="H26:L26" si="9">SUM(H20:H25)</f>
        <v>1565852</v>
      </c>
      <c r="I26" s="43">
        <f t="shared" si="9"/>
        <v>10</v>
      </c>
      <c r="J26" s="104"/>
      <c r="K26" s="43">
        <f t="shared" si="9"/>
        <v>251340</v>
      </c>
      <c r="L26" s="43">
        <f t="shared" si="9"/>
        <v>19</v>
      </c>
      <c r="M26" s="104"/>
      <c r="N26" s="43">
        <f t="shared" ref="N26:R26" si="10">SUM(N20:N25)</f>
        <v>135337</v>
      </c>
      <c r="O26" s="43">
        <f t="shared" si="10"/>
        <v>10</v>
      </c>
      <c r="P26" s="104"/>
      <c r="Q26" s="43">
        <f t="shared" si="10"/>
        <v>2470</v>
      </c>
      <c r="R26" s="43">
        <f t="shared" si="10"/>
        <v>19</v>
      </c>
      <c r="S26" s="104"/>
      <c r="T26" s="43">
        <f t="shared" ref="T26:W26" si="11">SUM(T20:T25)</f>
        <v>5016</v>
      </c>
      <c r="U26" s="43">
        <f t="shared" si="11"/>
        <v>19</v>
      </c>
      <c r="V26" s="104"/>
      <c r="W26" s="43">
        <f t="shared" si="11"/>
        <v>14915</v>
      </c>
      <c r="X26" s="65">
        <f>T26+Q26+N26+K26+H26+W26</f>
        <v>1974930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343210.98</v>
      </c>
      <c r="E31" s="22">
        <f t="shared" ref="E31:E34" si="12">X4</f>
        <v>589808.85</v>
      </c>
      <c r="F31" s="22">
        <f t="shared" ref="F31:F34" si="13">E31-D31</f>
        <v>246597.87</v>
      </c>
      <c r="G31" s="22">
        <f t="shared" ref="G31:G34" si="14">X12</f>
        <v>647099.55000000005</v>
      </c>
      <c r="H31" s="22">
        <f t="shared" ref="H31:H34" si="15">G31-D31</f>
        <v>303888.57</v>
      </c>
      <c r="I31" s="22">
        <f t="shared" ref="I31:I34" si="16">X20</f>
        <v>628028.4</v>
      </c>
      <c r="J31" s="50">
        <f t="shared" ref="J31:J34" si="17">I31-D31</f>
        <v>284817.42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66321.09</v>
      </c>
      <c r="E32" s="22">
        <f t="shared" si="12"/>
        <v>186088</v>
      </c>
      <c r="F32" s="22">
        <f t="shared" si="13"/>
        <v>119766.91</v>
      </c>
      <c r="G32" s="22">
        <f t="shared" si="14"/>
        <v>204858</v>
      </c>
      <c r="H32" s="22">
        <f t="shared" si="15"/>
        <v>138536.91</v>
      </c>
      <c r="I32" s="22">
        <f t="shared" si="16"/>
        <v>198800</v>
      </c>
      <c r="J32" s="50">
        <f t="shared" si="17"/>
        <v>132478.91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312678.90000000002</v>
      </c>
      <c r="E33" s="22">
        <f>X7+X8</f>
        <v>980907</v>
      </c>
      <c r="F33" s="22">
        <f t="shared" si="13"/>
        <v>668228.1</v>
      </c>
      <c r="G33" s="22">
        <f>X15+X16</f>
        <v>1076452</v>
      </c>
      <c r="H33" s="22">
        <f t="shared" si="15"/>
        <v>763773.1</v>
      </c>
      <c r="I33" s="22">
        <f>X23+X24</f>
        <v>1044822</v>
      </c>
      <c r="J33" s="50">
        <f t="shared" si="17"/>
        <v>732143.1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288946.07</v>
      </c>
      <c r="E34" s="22">
        <f t="shared" si="12"/>
        <v>841378</v>
      </c>
      <c r="F34" s="22">
        <f t="shared" si="13"/>
        <v>552431.93000000005</v>
      </c>
      <c r="G34" s="22">
        <f t="shared" si="14"/>
        <v>923916</v>
      </c>
      <c r="H34" s="22">
        <f t="shared" si="15"/>
        <v>634969.93000000005</v>
      </c>
      <c r="I34" s="22">
        <f t="shared" si="16"/>
        <v>896643</v>
      </c>
      <c r="J34" s="50">
        <f t="shared" si="17"/>
        <v>607696.93000000005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23732.83</v>
      </c>
      <c r="E35" s="22">
        <f t="shared" si="18"/>
        <v>139529</v>
      </c>
      <c r="F35" s="22">
        <f t="shared" si="18"/>
        <v>115796.17</v>
      </c>
      <c r="G35" s="22">
        <f t="shared" si="18"/>
        <v>152536</v>
      </c>
      <c r="H35" s="22">
        <f t="shared" si="18"/>
        <v>128803.17</v>
      </c>
      <c r="I35" s="22">
        <f t="shared" si="18"/>
        <v>148179</v>
      </c>
      <c r="J35" s="50">
        <f t="shared" si="18"/>
        <v>124446.17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74">
        <v>132220.15</v>
      </c>
      <c r="E36" s="22">
        <f>X9</f>
        <v>97282.65</v>
      </c>
      <c r="F36" s="22">
        <f>E36-D36</f>
        <v>-34937.5</v>
      </c>
      <c r="G36" s="22">
        <f>X17</f>
        <v>106405.95</v>
      </c>
      <c r="H36" s="22">
        <f>G36-D36</f>
        <v>-25814.2</v>
      </c>
      <c r="I36" s="22">
        <f>X25</f>
        <v>103279.6</v>
      </c>
      <c r="J36" s="50">
        <f>I36-D36</f>
        <v>-28940.55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854431.12</v>
      </c>
      <c r="E37" s="22">
        <f>X10</f>
        <v>1854086.5</v>
      </c>
      <c r="F37" s="22">
        <f>E37-D37</f>
        <v>999655.38</v>
      </c>
      <c r="G37" s="22">
        <f>X18</f>
        <v>2034815.5</v>
      </c>
      <c r="H37" s="22">
        <f>G37-D37</f>
        <v>1180384.3799999999</v>
      </c>
      <c r="I37" s="22">
        <f>X26</f>
        <v>1974930</v>
      </c>
      <c r="J37" s="50">
        <f>I37-D37</f>
        <v>1120498.8799999999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1045676.38</v>
      </c>
      <c r="G38" s="18"/>
      <c r="H38" s="22">
        <f>H37+C48+C49</f>
        <v>1226405.3799999999</v>
      </c>
      <c r="I38" s="18"/>
      <c r="J38" s="50">
        <f>J37+C48+C49</f>
        <v>1166519.8799999999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62763</v>
      </c>
      <c r="C43" s="21">
        <v>6890</v>
      </c>
      <c r="D43" s="25">
        <v>25334</v>
      </c>
      <c r="E43" s="21">
        <v>23123</v>
      </c>
      <c r="F43" s="21">
        <v>6679</v>
      </c>
      <c r="G43" s="21">
        <v>258</v>
      </c>
      <c r="H43" s="21">
        <v>231</v>
      </c>
      <c r="I43" s="52">
        <v>248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68649</v>
      </c>
      <c r="C44" s="21">
        <v>6678</v>
      </c>
      <c r="D44" s="25">
        <v>27912</v>
      </c>
      <c r="E44" s="21">
        <v>25912</v>
      </c>
      <c r="F44" s="21">
        <v>7345</v>
      </c>
      <c r="G44" s="21">
        <v>279</v>
      </c>
      <c r="H44" s="21">
        <v>254</v>
      </c>
      <c r="I44" s="52">
        <v>269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66632</v>
      </c>
      <c r="C45" s="28">
        <v>6456</v>
      </c>
      <c r="D45" s="29">
        <v>27134</v>
      </c>
      <c r="E45" s="21">
        <v>25134</v>
      </c>
      <c r="F45" s="21">
        <v>7123</v>
      </c>
      <c r="G45" s="28">
        <v>274</v>
      </c>
      <c r="H45" s="28">
        <v>247</v>
      </c>
      <c r="I45" s="53">
        <v>264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41021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5000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55"/>
  <sheetViews>
    <sheetView zoomScale="60" zoomScaleNormal="60" workbookViewId="0">
      <selection activeCell="D20" sqref="D20:D26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122</v>
      </c>
      <c r="C1" s="70"/>
      <c r="D1" s="70" t="s">
        <v>2</v>
      </c>
      <c r="E1" s="70" t="s">
        <v>123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124</v>
      </c>
      <c r="E4" s="39" t="s">
        <v>25</v>
      </c>
      <c r="F4" s="40">
        <v>22</v>
      </c>
      <c r="G4" s="101">
        <f>B43</f>
        <v>66632</v>
      </c>
      <c r="H4" s="38">
        <f>F4*G4</f>
        <v>1465904</v>
      </c>
      <c r="I4" s="45">
        <v>3</v>
      </c>
      <c r="J4" s="101">
        <f>E43</f>
        <v>25134</v>
      </c>
      <c r="K4" s="38">
        <f>I4*J4</f>
        <v>75402</v>
      </c>
      <c r="L4" s="45">
        <v>3</v>
      </c>
      <c r="M4" s="101">
        <f>F43</f>
        <v>7123</v>
      </c>
      <c r="N4" s="38">
        <f>L4*M4</f>
        <v>21369</v>
      </c>
      <c r="O4" s="46">
        <v>3</v>
      </c>
      <c r="P4" s="101">
        <f>H43</f>
        <v>247</v>
      </c>
      <c r="Q4" s="38">
        <f>O4*P4</f>
        <v>741</v>
      </c>
      <c r="R4" s="46">
        <v>3</v>
      </c>
      <c r="S4" s="101">
        <f>I43</f>
        <v>264</v>
      </c>
      <c r="T4" s="38">
        <f>R4*S4</f>
        <v>792</v>
      </c>
      <c r="U4" s="46">
        <v>0</v>
      </c>
      <c r="V4" s="101">
        <f>SUM(G43:I43)</f>
        <v>785</v>
      </c>
      <c r="W4" s="38">
        <v>0</v>
      </c>
      <c r="X4" s="62">
        <f t="shared" ref="X4:X7" si="0">T4+Q4+N4+K4+H4</f>
        <v>1564208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2.2000000000000002</v>
      </c>
      <c r="G5" s="102"/>
      <c r="H5" s="38">
        <f>F5*G4</f>
        <v>146590.39999999999</v>
      </c>
      <c r="I5" s="45">
        <v>2</v>
      </c>
      <c r="J5" s="102"/>
      <c r="K5" s="38">
        <f>I5*J4</f>
        <v>50268</v>
      </c>
      <c r="L5" s="45">
        <v>2</v>
      </c>
      <c r="M5" s="102"/>
      <c r="N5" s="38">
        <f>L5*M4</f>
        <v>14246</v>
      </c>
      <c r="O5" s="40">
        <v>2</v>
      </c>
      <c r="P5" s="102"/>
      <c r="Q5" s="38">
        <f>O5*P4</f>
        <v>494</v>
      </c>
      <c r="R5" s="40">
        <v>2</v>
      </c>
      <c r="S5" s="102"/>
      <c r="T5" s="38">
        <f>R5*S4</f>
        <v>528</v>
      </c>
      <c r="U5" s="40">
        <v>0</v>
      </c>
      <c r="V5" s="102"/>
      <c r="W5" s="38">
        <v>0</v>
      </c>
      <c r="X5" s="62">
        <f t="shared" si="0"/>
        <v>212126.4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666320</v>
      </c>
      <c r="I7" s="45">
        <v>5</v>
      </c>
      <c r="J7" s="102"/>
      <c r="K7" s="38">
        <f>I7*J4</f>
        <v>125670</v>
      </c>
      <c r="L7" s="45">
        <v>14</v>
      </c>
      <c r="M7" s="102"/>
      <c r="N7" s="38">
        <f>L7*M4</f>
        <v>99722</v>
      </c>
      <c r="O7" s="40">
        <v>5</v>
      </c>
      <c r="P7" s="102"/>
      <c r="Q7" s="38">
        <f>O7*P4</f>
        <v>1235</v>
      </c>
      <c r="R7" s="40">
        <v>14</v>
      </c>
      <c r="S7" s="102"/>
      <c r="T7" s="38">
        <f>R7*S4</f>
        <v>3696</v>
      </c>
      <c r="U7" s="40">
        <v>0</v>
      </c>
      <c r="V7" s="102"/>
      <c r="W7" s="38">
        <v>0</v>
      </c>
      <c r="X7" s="62">
        <f t="shared" si="0"/>
        <v>896643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133264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14915</v>
      </c>
      <c r="X8" s="62">
        <f>T8+Q8+N8+K8+H8+W8</f>
        <v>148179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1.8</v>
      </c>
      <c r="G9" s="102"/>
      <c r="H9" s="38">
        <f>F9*G4</f>
        <v>119937.60000000001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119937.60000000001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26</v>
      </c>
      <c r="G10" s="103"/>
      <c r="H10" s="41">
        <f t="shared" ref="H10:L10" si="2">SUM(H4:H9)</f>
        <v>2532016</v>
      </c>
      <c r="I10" s="41">
        <f t="shared" si="2"/>
        <v>10</v>
      </c>
      <c r="J10" s="103"/>
      <c r="K10" s="41">
        <f t="shared" si="2"/>
        <v>251340</v>
      </c>
      <c r="L10" s="41">
        <f t="shared" si="2"/>
        <v>19</v>
      </c>
      <c r="M10" s="103"/>
      <c r="N10" s="41">
        <f t="shared" ref="N10:R10" si="3">SUM(N4:N9)</f>
        <v>135337</v>
      </c>
      <c r="O10" s="41">
        <f t="shared" si="3"/>
        <v>10</v>
      </c>
      <c r="P10" s="103"/>
      <c r="Q10" s="41">
        <f t="shared" si="3"/>
        <v>2470</v>
      </c>
      <c r="R10" s="41">
        <f t="shared" si="3"/>
        <v>19</v>
      </c>
      <c r="S10" s="103"/>
      <c r="T10" s="41">
        <f t="shared" ref="T10:W10" si="4">SUM(T4:T9)</f>
        <v>5016</v>
      </c>
      <c r="U10" s="41">
        <f t="shared" si="4"/>
        <v>19</v>
      </c>
      <c r="V10" s="103"/>
      <c r="W10" s="41">
        <f t="shared" si="4"/>
        <v>14915</v>
      </c>
      <c r="X10" s="63">
        <f>T10+Q10+N10+K10+H10+W10</f>
        <v>2941094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124</v>
      </c>
      <c r="E12" s="39" t="s">
        <v>25</v>
      </c>
      <c r="F12" s="40">
        <v>22</v>
      </c>
      <c r="G12" s="101">
        <f>B44</f>
        <v>65504</v>
      </c>
      <c r="H12" s="38">
        <f>F12*G12</f>
        <v>1441088</v>
      </c>
      <c r="I12" s="46">
        <v>3</v>
      </c>
      <c r="J12" s="101">
        <f>E44</f>
        <v>24356</v>
      </c>
      <c r="K12" s="38">
        <f>I12*J12</f>
        <v>73068</v>
      </c>
      <c r="L12" s="46">
        <v>3</v>
      </c>
      <c r="M12" s="101">
        <f>F44</f>
        <v>6901</v>
      </c>
      <c r="N12" s="38">
        <f>L12*M12</f>
        <v>20703</v>
      </c>
      <c r="O12" s="46">
        <v>3</v>
      </c>
      <c r="P12" s="101">
        <f>H44</f>
        <v>240</v>
      </c>
      <c r="Q12" s="38">
        <f>O12*P12</f>
        <v>720</v>
      </c>
      <c r="R12" s="46">
        <v>3</v>
      </c>
      <c r="S12" s="101">
        <f>I44</f>
        <v>259</v>
      </c>
      <c r="T12" s="38">
        <f>R12*S12</f>
        <v>777</v>
      </c>
      <c r="U12" s="46">
        <v>0</v>
      </c>
      <c r="V12" s="101">
        <f>SUM(G44:I44)</f>
        <v>768</v>
      </c>
      <c r="W12" s="38">
        <v>0</v>
      </c>
      <c r="X12" s="62">
        <f t="shared" si="1"/>
        <v>1536356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2.2000000000000002</v>
      </c>
      <c r="G13" s="102"/>
      <c r="H13" s="38">
        <f>F13*G12</f>
        <v>144108.79999999999</v>
      </c>
      <c r="I13" s="40">
        <v>2</v>
      </c>
      <c r="J13" s="102"/>
      <c r="K13" s="38">
        <f>I13*J12</f>
        <v>48712</v>
      </c>
      <c r="L13" s="40">
        <v>2</v>
      </c>
      <c r="M13" s="102"/>
      <c r="N13" s="38">
        <f>L13*M12</f>
        <v>13802</v>
      </c>
      <c r="O13" s="40">
        <v>2</v>
      </c>
      <c r="P13" s="102"/>
      <c r="Q13" s="38">
        <f>O13*P12</f>
        <v>480</v>
      </c>
      <c r="R13" s="40">
        <v>2</v>
      </c>
      <c r="S13" s="102"/>
      <c r="T13" s="38">
        <f>R13*S12</f>
        <v>518</v>
      </c>
      <c r="U13" s="40">
        <v>0</v>
      </c>
      <c r="V13" s="102"/>
      <c r="W13" s="38">
        <v>0</v>
      </c>
      <c r="X13" s="62">
        <f t="shared" si="1"/>
        <v>207620.8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655040</v>
      </c>
      <c r="I15" s="40">
        <v>5</v>
      </c>
      <c r="J15" s="102"/>
      <c r="K15" s="38">
        <f>I15*J12</f>
        <v>121780</v>
      </c>
      <c r="L15" s="40">
        <v>14</v>
      </c>
      <c r="M15" s="102"/>
      <c r="N15" s="38">
        <f>L15*M12</f>
        <v>96614</v>
      </c>
      <c r="O15" s="40">
        <v>5</v>
      </c>
      <c r="P15" s="102"/>
      <c r="Q15" s="38">
        <f>O15*P12</f>
        <v>1200</v>
      </c>
      <c r="R15" s="40">
        <v>14</v>
      </c>
      <c r="S15" s="102"/>
      <c r="T15" s="38">
        <f>R15*S12</f>
        <v>3626</v>
      </c>
      <c r="U15" s="40">
        <v>0</v>
      </c>
      <c r="V15" s="102"/>
      <c r="W15" s="38">
        <v>0</v>
      </c>
      <c r="X15" s="62">
        <f t="shared" si="1"/>
        <v>878260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131008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14592</v>
      </c>
      <c r="X16" s="62">
        <f>T16+Q16+N16+K16+H16+W16</f>
        <v>145600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1.8</v>
      </c>
      <c r="G17" s="102"/>
      <c r="H17" s="38">
        <f>F17*G12</f>
        <v>117907.2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117907.2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26</v>
      </c>
      <c r="G18" s="103"/>
      <c r="H18" s="41">
        <f t="shared" ref="H18:L18" si="6">SUM(H12:H17)</f>
        <v>2489152</v>
      </c>
      <c r="I18" s="41">
        <f t="shared" si="6"/>
        <v>10</v>
      </c>
      <c r="J18" s="103"/>
      <c r="K18" s="41">
        <f t="shared" si="6"/>
        <v>243560</v>
      </c>
      <c r="L18" s="41">
        <f t="shared" si="6"/>
        <v>19</v>
      </c>
      <c r="M18" s="103"/>
      <c r="N18" s="41">
        <f t="shared" ref="N18:R18" si="7">SUM(N12:N17)</f>
        <v>131119</v>
      </c>
      <c r="O18" s="41">
        <f t="shared" si="7"/>
        <v>10</v>
      </c>
      <c r="P18" s="103"/>
      <c r="Q18" s="41">
        <f t="shared" si="7"/>
        <v>2400</v>
      </c>
      <c r="R18" s="41">
        <f t="shared" si="7"/>
        <v>19</v>
      </c>
      <c r="S18" s="103"/>
      <c r="T18" s="41">
        <f t="shared" ref="T18:W18" si="8">SUM(T12:T17)</f>
        <v>4921</v>
      </c>
      <c r="U18" s="41">
        <f t="shared" si="8"/>
        <v>19</v>
      </c>
      <c r="V18" s="103"/>
      <c r="W18" s="41">
        <f t="shared" si="8"/>
        <v>14592</v>
      </c>
      <c r="X18" s="63">
        <f>T18+Q18+N18+K18+H18+W18</f>
        <v>2885744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124</v>
      </c>
      <c r="E20" s="39" t="s">
        <v>25</v>
      </c>
      <c r="F20" s="40">
        <v>22</v>
      </c>
      <c r="G20" s="101">
        <f>B45</f>
        <v>63695</v>
      </c>
      <c r="H20" s="38">
        <f>F20*G20</f>
        <v>1401290</v>
      </c>
      <c r="I20" s="46">
        <v>3</v>
      </c>
      <c r="J20" s="101">
        <f>E45</f>
        <v>23578</v>
      </c>
      <c r="K20" s="38">
        <f>I20*J20</f>
        <v>70734</v>
      </c>
      <c r="L20" s="46">
        <v>3</v>
      </c>
      <c r="M20" s="101">
        <f>F45</f>
        <v>6890</v>
      </c>
      <c r="N20" s="38">
        <f>L20*M20</f>
        <v>20670</v>
      </c>
      <c r="O20" s="46">
        <v>3</v>
      </c>
      <c r="P20" s="101">
        <f>H45</f>
        <v>238</v>
      </c>
      <c r="Q20" s="38">
        <f>O20*P20</f>
        <v>714</v>
      </c>
      <c r="R20" s="46">
        <v>3</v>
      </c>
      <c r="S20" s="101">
        <f>I45</f>
        <v>253</v>
      </c>
      <c r="T20" s="38">
        <f>R20*S20</f>
        <v>759</v>
      </c>
      <c r="U20" s="46">
        <v>0</v>
      </c>
      <c r="V20" s="101">
        <f>SUM((G45:I45))</f>
        <v>748</v>
      </c>
      <c r="W20" s="38">
        <v>0</v>
      </c>
      <c r="X20" s="62">
        <f t="shared" si="5"/>
        <v>1494167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2.2000000000000002</v>
      </c>
      <c r="G21" s="102"/>
      <c r="H21" s="38">
        <f>F21*G20</f>
        <v>140129</v>
      </c>
      <c r="I21" s="40">
        <v>2</v>
      </c>
      <c r="J21" s="102"/>
      <c r="K21" s="38">
        <f>I21*J20</f>
        <v>47156</v>
      </c>
      <c r="L21" s="40">
        <v>2</v>
      </c>
      <c r="M21" s="102"/>
      <c r="N21" s="38">
        <f>L21*M20</f>
        <v>13780</v>
      </c>
      <c r="O21" s="40">
        <v>2</v>
      </c>
      <c r="P21" s="102"/>
      <c r="Q21" s="38">
        <f>O21*P20</f>
        <v>476</v>
      </c>
      <c r="R21" s="40">
        <v>2</v>
      </c>
      <c r="S21" s="102"/>
      <c r="T21" s="38">
        <f>R21*S20</f>
        <v>506</v>
      </c>
      <c r="U21" s="40">
        <v>0</v>
      </c>
      <c r="V21" s="102"/>
      <c r="W21" s="38">
        <v>0</v>
      </c>
      <c r="X21" s="62">
        <f t="shared" si="5"/>
        <v>202047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636950</v>
      </c>
      <c r="I23" s="40">
        <v>5</v>
      </c>
      <c r="J23" s="102"/>
      <c r="K23" s="38">
        <f>I23*J20</f>
        <v>117890</v>
      </c>
      <c r="L23" s="40">
        <v>14</v>
      </c>
      <c r="M23" s="102"/>
      <c r="N23" s="38">
        <f>L23*M20</f>
        <v>96460</v>
      </c>
      <c r="O23" s="40">
        <v>5</v>
      </c>
      <c r="P23" s="102"/>
      <c r="Q23" s="38">
        <f>O23*P20</f>
        <v>1190</v>
      </c>
      <c r="R23" s="40">
        <v>14</v>
      </c>
      <c r="S23" s="102"/>
      <c r="T23" s="38">
        <f>R23*S20</f>
        <v>3542</v>
      </c>
      <c r="U23" s="40">
        <v>0</v>
      </c>
      <c r="V23" s="102"/>
      <c r="W23" s="38">
        <v>0</v>
      </c>
      <c r="X23" s="62">
        <f t="shared" si="5"/>
        <v>856032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127390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14212</v>
      </c>
      <c r="X24" s="62">
        <f>T24+Q24+N24+K24+H24+W24</f>
        <v>141602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1.8</v>
      </c>
      <c r="G25" s="102"/>
      <c r="H25" s="38">
        <f>F25*G20</f>
        <v>114651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114651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26</v>
      </c>
      <c r="G26" s="104"/>
      <c r="H26" s="43">
        <f t="shared" ref="H26:L26" si="9">SUM(H20:H25)</f>
        <v>2420410</v>
      </c>
      <c r="I26" s="43">
        <f t="shared" si="9"/>
        <v>10</v>
      </c>
      <c r="J26" s="104"/>
      <c r="K26" s="43">
        <f t="shared" si="9"/>
        <v>235780</v>
      </c>
      <c r="L26" s="43">
        <f t="shared" si="9"/>
        <v>19</v>
      </c>
      <c r="M26" s="104"/>
      <c r="N26" s="43">
        <f t="shared" ref="N26:R26" si="10">SUM(N20:N25)</f>
        <v>130910</v>
      </c>
      <c r="O26" s="43">
        <f t="shared" si="10"/>
        <v>10</v>
      </c>
      <c r="P26" s="104"/>
      <c r="Q26" s="43">
        <f t="shared" si="10"/>
        <v>2380</v>
      </c>
      <c r="R26" s="43">
        <f t="shared" si="10"/>
        <v>19</v>
      </c>
      <c r="S26" s="104"/>
      <c r="T26" s="43">
        <f t="shared" ref="T26:W26" si="11">SUM(T20:T25)</f>
        <v>4807</v>
      </c>
      <c r="U26" s="43">
        <f t="shared" si="11"/>
        <v>19</v>
      </c>
      <c r="V26" s="104"/>
      <c r="W26" s="43">
        <f t="shared" si="11"/>
        <v>14212</v>
      </c>
      <c r="X26" s="65">
        <f>T26+Q26+N26+K26+H26+W26</f>
        <v>2808499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354321.09</v>
      </c>
      <c r="E31" s="22">
        <f t="shared" ref="E31:E34" si="12">X4</f>
        <v>1564208</v>
      </c>
      <c r="F31" s="22">
        <f t="shared" ref="F31:F34" si="13">E31-D31</f>
        <v>1209886.9099999999</v>
      </c>
      <c r="G31" s="22">
        <f t="shared" ref="G31:G34" si="14">X12</f>
        <v>1536356</v>
      </c>
      <c r="H31" s="22">
        <f t="shared" ref="H31:H34" si="15">G31-D31</f>
        <v>1182034.9099999999</v>
      </c>
      <c r="I31" s="22">
        <f t="shared" ref="I31:I34" si="16">X20</f>
        <v>1494167</v>
      </c>
      <c r="J31" s="50">
        <f t="shared" ref="J31:J34" si="17">I31-D31</f>
        <v>1139845.9099999999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69432.100000000006</v>
      </c>
      <c r="E32" s="22">
        <f t="shared" si="12"/>
        <v>212126.4</v>
      </c>
      <c r="F32" s="22">
        <f t="shared" si="13"/>
        <v>142694.29999999999</v>
      </c>
      <c r="G32" s="22">
        <f t="shared" si="14"/>
        <v>207620.8</v>
      </c>
      <c r="H32" s="22">
        <f t="shared" si="15"/>
        <v>138188.70000000001</v>
      </c>
      <c r="I32" s="22">
        <f t="shared" si="16"/>
        <v>202047</v>
      </c>
      <c r="J32" s="50">
        <f t="shared" si="17"/>
        <v>132614.9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318901.74</v>
      </c>
      <c r="E33" s="22">
        <f>X7+X8</f>
        <v>1044822</v>
      </c>
      <c r="F33" s="22">
        <f t="shared" si="13"/>
        <v>725920.26</v>
      </c>
      <c r="G33" s="22">
        <f>X15+X16</f>
        <v>1023860</v>
      </c>
      <c r="H33" s="22">
        <f t="shared" si="15"/>
        <v>704958.26</v>
      </c>
      <c r="I33" s="22">
        <f>X23+X24</f>
        <v>997634</v>
      </c>
      <c r="J33" s="50">
        <f t="shared" si="17"/>
        <v>678732.26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295378.52</v>
      </c>
      <c r="E34" s="22">
        <f t="shared" si="12"/>
        <v>896643</v>
      </c>
      <c r="F34" s="22">
        <f t="shared" si="13"/>
        <v>601264.48</v>
      </c>
      <c r="G34" s="22">
        <f t="shared" si="14"/>
        <v>878260</v>
      </c>
      <c r="H34" s="22">
        <f t="shared" si="15"/>
        <v>582881.48</v>
      </c>
      <c r="I34" s="22">
        <f t="shared" si="16"/>
        <v>856032</v>
      </c>
      <c r="J34" s="50">
        <f t="shared" si="17"/>
        <v>560653.48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23523.22</v>
      </c>
      <c r="E35" s="22">
        <f t="shared" si="18"/>
        <v>148179</v>
      </c>
      <c r="F35" s="22">
        <f t="shared" si="18"/>
        <v>124655.78</v>
      </c>
      <c r="G35" s="22">
        <f t="shared" si="18"/>
        <v>145600</v>
      </c>
      <c r="H35" s="22">
        <f t="shared" si="18"/>
        <v>122076.78</v>
      </c>
      <c r="I35" s="22">
        <f t="shared" si="18"/>
        <v>141602</v>
      </c>
      <c r="J35" s="50">
        <f t="shared" si="18"/>
        <v>118078.78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74">
        <v>232220.15</v>
      </c>
      <c r="E36" s="22">
        <f>X9</f>
        <v>119937.60000000001</v>
      </c>
      <c r="F36" s="22">
        <f>E36-D36</f>
        <v>-112282.55</v>
      </c>
      <c r="G36" s="22">
        <f>X17</f>
        <v>117907.2</v>
      </c>
      <c r="H36" s="22">
        <f>G36-D36</f>
        <v>-114312.95</v>
      </c>
      <c r="I36" s="22">
        <f>X25</f>
        <v>114651</v>
      </c>
      <c r="J36" s="50">
        <f>I36-D36</f>
        <v>-117569.15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974875.08</v>
      </c>
      <c r="E37" s="22">
        <f>X10</f>
        <v>2941094</v>
      </c>
      <c r="F37" s="22">
        <f>E37-D37</f>
        <v>1966218.92</v>
      </c>
      <c r="G37" s="22">
        <f>X18</f>
        <v>2885744</v>
      </c>
      <c r="H37" s="22">
        <f>G37-D37</f>
        <v>1910868.92</v>
      </c>
      <c r="I37" s="22">
        <f>X26</f>
        <v>2808499</v>
      </c>
      <c r="J37" s="50">
        <f>I37-D37</f>
        <v>1833623.92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2012239.92</v>
      </c>
      <c r="G38" s="18"/>
      <c r="H38" s="22">
        <f>H37+C48+C49</f>
        <v>1956889.92</v>
      </c>
      <c r="I38" s="18"/>
      <c r="J38" s="50">
        <f>J37+C48+C49</f>
        <v>1879644.92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66632</v>
      </c>
      <c r="C43" s="21">
        <v>6456</v>
      </c>
      <c r="D43" s="25">
        <v>27134</v>
      </c>
      <c r="E43" s="21">
        <v>25134</v>
      </c>
      <c r="F43" s="21">
        <v>7123</v>
      </c>
      <c r="G43" s="21">
        <v>274</v>
      </c>
      <c r="H43" s="21">
        <v>247</v>
      </c>
      <c r="I43" s="52">
        <v>264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65504</v>
      </c>
      <c r="C44" s="21">
        <v>7123</v>
      </c>
      <c r="D44" s="25">
        <v>26356</v>
      </c>
      <c r="E44" s="21">
        <v>24356</v>
      </c>
      <c r="F44" s="21">
        <v>6901</v>
      </c>
      <c r="G44" s="21">
        <v>269</v>
      </c>
      <c r="H44" s="21">
        <v>240</v>
      </c>
      <c r="I44" s="52">
        <v>259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63695</v>
      </c>
      <c r="C45" s="28">
        <v>6901</v>
      </c>
      <c r="D45" s="29">
        <v>25578</v>
      </c>
      <c r="E45" s="21">
        <v>23578</v>
      </c>
      <c r="F45" s="21">
        <v>6890</v>
      </c>
      <c r="G45" s="28">
        <v>257</v>
      </c>
      <c r="H45" s="28">
        <v>238</v>
      </c>
      <c r="I45" s="53">
        <v>253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41021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5000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55"/>
  <sheetViews>
    <sheetView zoomScale="60" zoomScaleNormal="60" workbookViewId="0">
      <selection activeCell="D20" sqref="D20:D26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125</v>
      </c>
      <c r="C1" s="70"/>
      <c r="D1" s="70" t="s">
        <v>2</v>
      </c>
      <c r="E1" s="70" t="s">
        <v>126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127</v>
      </c>
      <c r="E4" s="39" t="s">
        <v>25</v>
      </c>
      <c r="F4" s="40">
        <v>53.5</v>
      </c>
      <c r="G4" s="101">
        <f>B43</f>
        <v>66288</v>
      </c>
      <c r="H4" s="38">
        <f>F4*G4</f>
        <v>3546408</v>
      </c>
      <c r="I4" s="45">
        <v>3</v>
      </c>
      <c r="J4" s="101">
        <f>E43</f>
        <v>24702</v>
      </c>
      <c r="K4" s="38">
        <f>I4*J4</f>
        <v>74106</v>
      </c>
      <c r="L4" s="45">
        <v>3</v>
      </c>
      <c r="M4" s="101">
        <f>F43</f>
        <v>7123</v>
      </c>
      <c r="N4" s="38">
        <f>L4*M4</f>
        <v>21369</v>
      </c>
      <c r="O4" s="46">
        <v>3</v>
      </c>
      <c r="P4" s="101">
        <f>H43</f>
        <v>245</v>
      </c>
      <c r="Q4" s="38">
        <f>O4*P4</f>
        <v>735</v>
      </c>
      <c r="R4" s="46">
        <v>3</v>
      </c>
      <c r="S4" s="101">
        <f>I43</f>
        <v>258</v>
      </c>
      <c r="T4" s="38">
        <f>R4*S4</f>
        <v>774</v>
      </c>
      <c r="U4" s="46">
        <v>0</v>
      </c>
      <c r="V4" s="101">
        <f>SUM(G43:I43)</f>
        <v>771</v>
      </c>
      <c r="W4" s="38">
        <v>0</v>
      </c>
      <c r="X4" s="62">
        <f t="shared" ref="X4:X7" si="0">T4+Q4+N4+K4+H4</f>
        <v>3643392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3.5</v>
      </c>
      <c r="G5" s="102"/>
      <c r="H5" s="38">
        <f>F5*G4</f>
        <v>232008</v>
      </c>
      <c r="I5" s="45">
        <v>2</v>
      </c>
      <c r="J5" s="102"/>
      <c r="K5" s="38">
        <f>I5*J4</f>
        <v>49404</v>
      </c>
      <c r="L5" s="45">
        <v>2</v>
      </c>
      <c r="M5" s="102"/>
      <c r="N5" s="38">
        <f>L5*M4</f>
        <v>14246</v>
      </c>
      <c r="O5" s="40">
        <v>2</v>
      </c>
      <c r="P5" s="102"/>
      <c r="Q5" s="38">
        <f>O5*P4</f>
        <v>490</v>
      </c>
      <c r="R5" s="40">
        <v>2</v>
      </c>
      <c r="S5" s="102"/>
      <c r="T5" s="38">
        <f>R5*S4</f>
        <v>516</v>
      </c>
      <c r="U5" s="40">
        <v>0</v>
      </c>
      <c r="V5" s="102"/>
      <c r="W5" s="38">
        <v>0</v>
      </c>
      <c r="X5" s="62">
        <f t="shared" si="0"/>
        <v>296664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10.5</v>
      </c>
      <c r="G7" s="102"/>
      <c r="H7" s="38">
        <f>F7*G4</f>
        <v>696024</v>
      </c>
      <c r="I7" s="45">
        <v>5</v>
      </c>
      <c r="J7" s="102"/>
      <c r="K7" s="38">
        <f>I7*J4</f>
        <v>123510</v>
      </c>
      <c r="L7" s="45">
        <v>14</v>
      </c>
      <c r="M7" s="102"/>
      <c r="N7" s="38">
        <f>L7*M4</f>
        <v>99722</v>
      </c>
      <c r="O7" s="40">
        <v>5</v>
      </c>
      <c r="P7" s="102"/>
      <c r="Q7" s="38">
        <f>O7*P4</f>
        <v>1225</v>
      </c>
      <c r="R7" s="40">
        <v>14</v>
      </c>
      <c r="S7" s="102"/>
      <c r="T7" s="38">
        <f>R7*S4</f>
        <v>3612</v>
      </c>
      <c r="U7" s="40">
        <v>0</v>
      </c>
      <c r="V7" s="102"/>
      <c r="W7" s="38">
        <v>0</v>
      </c>
      <c r="X7" s="62">
        <f t="shared" si="0"/>
        <v>924093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132576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14649</v>
      </c>
      <c r="X8" s="62">
        <f>T8+Q8+N8+K8+H8+W8</f>
        <v>147225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2</v>
      </c>
      <c r="G9" s="102"/>
      <c r="H9" s="38">
        <f>F9*G4</f>
        <v>132576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132576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59</v>
      </c>
      <c r="G10" s="103"/>
      <c r="H10" s="41">
        <f t="shared" ref="H10:L10" si="2">SUM(H4:H9)</f>
        <v>4739592</v>
      </c>
      <c r="I10" s="41">
        <f t="shared" si="2"/>
        <v>10</v>
      </c>
      <c r="J10" s="103"/>
      <c r="K10" s="41">
        <f t="shared" si="2"/>
        <v>247020</v>
      </c>
      <c r="L10" s="41">
        <f t="shared" si="2"/>
        <v>19</v>
      </c>
      <c r="M10" s="103"/>
      <c r="N10" s="41">
        <f t="shared" ref="N10:R10" si="3">SUM(N4:N9)</f>
        <v>135337</v>
      </c>
      <c r="O10" s="41">
        <f t="shared" si="3"/>
        <v>10</v>
      </c>
      <c r="P10" s="103"/>
      <c r="Q10" s="41">
        <f t="shared" si="3"/>
        <v>2450</v>
      </c>
      <c r="R10" s="41">
        <f t="shared" si="3"/>
        <v>19</v>
      </c>
      <c r="S10" s="103"/>
      <c r="T10" s="41">
        <f t="shared" ref="T10:W10" si="4">SUM(T4:T9)</f>
        <v>4902</v>
      </c>
      <c r="U10" s="41">
        <f t="shared" si="4"/>
        <v>19</v>
      </c>
      <c r="V10" s="103"/>
      <c r="W10" s="41">
        <f t="shared" si="4"/>
        <v>14649</v>
      </c>
      <c r="X10" s="63">
        <f>T10+Q10+N10+K10+H10+W10</f>
        <v>5143950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127</v>
      </c>
      <c r="E12" s="39" t="s">
        <v>25</v>
      </c>
      <c r="F12" s="40">
        <v>53.5</v>
      </c>
      <c r="G12" s="101">
        <f>B44</f>
        <v>64504</v>
      </c>
      <c r="H12" s="38">
        <f>F12*G12</f>
        <v>3450964</v>
      </c>
      <c r="I12" s="46">
        <v>3</v>
      </c>
      <c r="J12" s="101">
        <f>E44</f>
        <v>23924</v>
      </c>
      <c r="K12" s="38">
        <f>I12*J12</f>
        <v>71772</v>
      </c>
      <c r="L12" s="46">
        <v>3</v>
      </c>
      <c r="M12" s="101">
        <f>F44</f>
        <v>6901</v>
      </c>
      <c r="N12" s="38">
        <f>L12*M12</f>
        <v>20703</v>
      </c>
      <c r="O12" s="46">
        <v>3</v>
      </c>
      <c r="P12" s="101">
        <f>H44</f>
        <v>238</v>
      </c>
      <c r="Q12" s="38">
        <f>O12*P12</f>
        <v>714</v>
      </c>
      <c r="R12" s="46">
        <v>3</v>
      </c>
      <c r="S12" s="101">
        <f>I44</f>
        <v>253</v>
      </c>
      <c r="T12" s="38">
        <f>R12*S12</f>
        <v>759</v>
      </c>
      <c r="U12" s="46">
        <v>0</v>
      </c>
      <c r="V12" s="101">
        <f>SUM(G44:I44)</f>
        <v>754</v>
      </c>
      <c r="W12" s="38">
        <v>0</v>
      </c>
      <c r="X12" s="62">
        <f t="shared" si="1"/>
        <v>3544912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3.5</v>
      </c>
      <c r="G13" s="102"/>
      <c r="H13" s="38">
        <f>F13*G12</f>
        <v>225764</v>
      </c>
      <c r="I13" s="40">
        <v>2</v>
      </c>
      <c r="J13" s="102"/>
      <c r="K13" s="38">
        <f>I13*J12</f>
        <v>47848</v>
      </c>
      <c r="L13" s="40">
        <v>2</v>
      </c>
      <c r="M13" s="102"/>
      <c r="N13" s="38">
        <f>L13*M12</f>
        <v>13802</v>
      </c>
      <c r="O13" s="40">
        <v>2</v>
      </c>
      <c r="P13" s="102"/>
      <c r="Q13" s="38">
        <f>O13*P12</f>
        <v>476</v>
      </c>
      <c r="R13" s="40">
        <v>2</v>
      </c>
      <c r="S13" s="102"/>
      <c r="T13" s="38">
        <f>R13*S12</f>
        <v>506</v>
      </c>
      <c r="U13" s="40">
        <v>0</v>
      </c>
      <c r="V13" s="102"/>
      <c r="W13" s="38">
        <v>0</v>
      </c>
      <c r="X13" s="62">
        <f t="shared" si="1"/>
        <v>288396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10.5</v>
      </c>
      <c r="G15" s="102"/>
      <c r="H15" s="38">
        <f>F15*G12</f>
        <v>677292</v>
      </c>
      <c r="I15" s="40">
        <v>5</v>
      </c>
      <c r="J15" s="102"/>
      <c r="K15" s="38">
        <f>I15*J12</f>
        <v>119620</v>
      </c>
      <c r="L15" s="40">
        <v>14</v>
      </c>
      <c r="M15" s="102"/>
      <c r="N15" s="38">
        <f>L15*M12</f>
        <v>96614</v>
      </c>
      <c r="O15" s="40">
        <v>5</v>
      </c>
      <c r="P15" s="102"/>
      <c r="Q15" s="38">
        <f>O15*P12</f>
        <v>1190</v>
      </c>
      <c r="R15" s="40">
        <v>14</v>
      </c>
      <c r="S15" s="102"/>
      <c r="T15" s="38">
        <f>R15*S12</f>
        <v>3542</v>
      </c>
      <c r="U15" s="40">
        <v>0</v>
      </c>
      <c r="V15" s="102"/>
      <c r="W15" s="38">
        <v>0</v>
      </c>
      <c r="X15" s="62">
        <f t="shared" si="1"/>
        <v>898258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129008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14326</v>
      </c>
      <c r="X16" s="62">
        <f>T16+Q16+N16+K16+H16+W16</f>
        <v>143334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2</v>
      </c>
      <c r="G17" s="102"/>
      <c r="H17" s="38">
        <f>F17*G12</f>
        <v>129008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129008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59</v>
      </c>
      <c r="G18" s="103"/>
      <c r="H18" s="41">
        <f t="shared" ref="H18:L18" si="6">SUM(H12:H17)</f>
        <v>4612036</v>
      </c>
      <c r="I18" s="41">
        <f t="shared" si="6"/>
        <v>10</v>
      </c>
      <c r="J18" s="103"/>
      <c r="K18" s="41">
        <f t="shared" si="6"/>
        <v>239240</v>
      </c>
      <c r="L18" s="41">
        <f t="shared" si="6"/>
        <v>19</v>
      </c>
      <c r="M18" s="103"/>
      <c r="N18" s="41">
        <f t="shared" ref="N18:R18" si="7">SUM(N12:N17)</f>
        <v>131119</v>
      </c>
      <c r="O18" s="41">
        <f t="shared" si="7"/>
        <v>10</v>
      </c>
      <c r="P18" s="103"/>
      <c r="Q18" s="41">
        <f t="shared" si="7"/>
        <v>2380</v>
      </c>
      <c r="R18" s="41">
        <f t="shared" si="7"/>
        <v>19</v>
      </c>
      <c r="S18" s="103"/>
      <c r="T18" s="41">
        <f t="shared" ref="T18:W18" si="8">SUM(T12:T17)</f>
        <v>4807</v>
      </c>
      <c r="U18" s="41">
        <f t="shared" si="8"/>
        <v>19</v>
      </c>
      <c r="V18" s="103"/>
      <c r="W18" s="41">
        <f t="shared" si="8"/>
        <v>14326</v>
      </c>
      <c r="X18" s="63">
        <f>T18+Q18+N18+K18+H18+W18</f>
        <v>5003908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127</v>
      </c>
      <c r="E20" s="39" t="s">
        <v>25</v>
      </c>
      <c r="F20" s="40">
        <v>53.5</v>
      </c>
      <c r="G20" s="101">
        <f>B45</f>
        <v>62486</v>
      </c>
      <c r="H20" s="38">
        <f>F20*G20</f>
        <v>3343001</v>
      </c>
      <c r="I20" s="46">
        <v>3</v>
      </c>
      <c r="J20" s="101">
        <f>E45</f>
        <v>23146</v>
      </c>
      <c r="K20" s="38">
        <f>I20*J20</f>
        <v>69438</v>
      </c>
      <c r="L20" s="46">
        <v>3</v>
      </c>
      <c r="M20" s="101">
        <f>F45</f>
        <v>6679</v>
      </c>
      <c r="N20" s="38">
        <f>L20*M20</f>
        <v>20037</v>
      </c>
      <c r="O20" s="46">
        <v>3</v>
      </c>
      <c r="P20" s="101">
        <f>H45</f>
        <v>231</v>
      </c>
      <c r="Q20" s="38">
        <f>O20*P20</f>
        <v>693</v>
      </c>
      <c r="R20" s="46">
        <v>3</v>
      </c>
      <c r="S20" s="101">
        <f>I45</f>
        <v>248</v>
      </c>
      <c r="T20" s="38">
        <f>R20*S20</f>
        <v>744</v>
      </c>
      <c r="U20" s="46">
        <v>0</v>
      </c>
      <c r="V20" s="101">
        <f>SUM((G45:I45))</f>
        <v>737</v>
      </c>
      <c r="W20" s="38">
        <v>0</v>
      </c>
      <c r="X20" s="62">
        <f t="shared" si="5"/>
        <v>3433913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3.5</v>
      </c>
      <c r="G21" s="102"/>
      <c r="H21" s="38">
        <f>F21*G20</f>
        <v>218701</v>
      </c>
      <c r="I21" s="40">
        <v>2</v>
      </c>
      <c r="J21" s="102"/>
      <c r="K21" s="38">
        <f>I21*J20</f>
        <v>46292</v>
      </c>
      <c r="L21" s="40">
        <v>2</v>
      </c>
      <c r="M21" s="102"/>
      <c r="N21" s="38">
        <f>L21*M20</f>
        <v>13358</v>
      </c>
      <c r="O21" s="40">
        <v>2</v>
      </c>
      <c r="P21" s="102"/>
      <c r="Q21" s="38">
        <f>O21*P20</f>
        <v>462</v>
      </c>
      <c r="R21" s="40">
        <v>2</v>
      </c>
      <c r="S21" s="102"/>
      <c r="T21" s="38">
        <f>R21*S20</f>
        <v>496</v>
      </c>
      <c r="U21" s="40">
        <v>0</v>
      </c>
      <c r="V21" s="102"/>
      <c r="W21" s="38">
        <v>0</v>
      </c>
      <c r="X21" s="62">
        <f t="shared" si="5"/>
        <v>279309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10.5</v>
      </c>
      <c r="G23" s="102"/>
      <c r="H23" s="38">
        <f>F23*G20</f>
        <v>656103</v>
      </c>
      <c r="I23" s="40">
        <v>5</v>
      </c>
      <c r="J23" s="102"/>
      <c r="K23" s="38">
        <f>I23*J20</f>
        <v>115730</v>
      </c>
      <c r="L23" s="40">
        <v>14</v>
      </c>
      <c r="M23" s="102"/>
      <c r="N23" s="38">
        <f>L23*M20</f>
        <v>93506</v>
      </c>
      <c r="O23" s="40">
        <v>5</v>
      </c>
      <c r="P23" s="102"/>
      <c r="Q23" s="38">
        <f>O23*P20</f>
        <v>1155</v>
      </c>
      <c r="R23" s="40">
        <v>14</v>
      </c>
      <c r="S23" s="102"/>
      <c r="T23" s="38">
        <f>R23*S20</f>
        <v>3472</v>
      </c>
      <c r="U23" s="40">
        <v>0</v>
      </c>
      <c r="V23" s="102"/>
      <c r="W23" s="38">
        <v>0</v>
      </c>
      <c r="X23" s="62">
        <f t="shared" si="5"/>
        <v>869966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124972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14003</v>
      </c>
      <c r="X24" s="62">
        <f>T24+Q24+N24+K24+H24+W24</f>
        <v>138975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2</v>
      </c>
      <c r="G25" s="102"/>
      <c r="H25" s="38">
        <f>F25*G20</f>
        <v>124972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124972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59</v>
      </c>
      <c r="G26" s="104"/>
      <c r="H26" s="43">
        <f t="shared" ref="H26:L26" si="9">SUM(H20:H25)</f>
        <v>4467749</v>
      </c>
      <c r="I26" s="43">
        <f t="shared" si="9"/>
        <v>10</v>
      </c>
      <c r="J26" s="104"/>
      <c r="K26" s="43">
        <f t="shared" si="9"/>
        <v>231460</v>
      </c>
      <c r="L26" s="43">
        <f t="shared" si="9"/>
        <v>19</v>
      </c>
      <c r="M26" s="104"/>
      <c r="N26" s="43">
        <f t="shared" ref="N26:R26" si="10">SUM(N20:N25)</f>
        <v>126901</v>
      </c>
      <c r="O26" s="43">
        <f t="shared" si="10"/>
        <v>10</v>
      </c>
      <c r="P26" s="104"/>
      <c r="Q26" s="43">
        <f t="shared" si="10"/>
        <v>2310</v>
      </c>
      <c r="R26" s="43">
        <f t="shared" si="10"/>
        <v>19</v>
      </c>
      <c r="S26" s="104"/>
      <c r="T26" s="43">
        <f t="shared" ref="T26:W26" si="11">SUM(T20:T25)</f>
        <v>4712</v>
      </c>
      <c r="U26" s="43">
        <f t="shared" si="11"/>
        <v>19</v>
      </c>
      <c r="V26" s="104"/>
      <c r="W26" s="43">
        <f t="shared" si="11"/>
        <v>14003</v>
      </c>
      <c r="X26" s="65">
        <f>T26+Q26+N26+K26+H26+W26</f>
        <v>4847135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343210.98</v>
      </c>
      <c r="E31" s="22">
        <f t="shared" ref="E31:E34" si="12">X4</f>
        <v>3643392</v>
      </c>
      <c r="F31" s="22">
        <f t="shared" ref="F31:F34" si="13">E31-D31</f>
        <v>3300181.02</v>
      </c>
      <c r="G31" s="22">
        <f t="shared" ref="G31:G34" si="14">X12</f>
        <v>3544912</v>
      </c>
      <c r="H31" s="22">
        <f t="shared" ref="H31:H34" si="15">G31-D31</f>
        <v>3201701.02</v>
      </c>
      <c r="I31" s="22">
        <f t="shared" ref="I31:I34" si="16">X20</f>
        <v>3433913</v>
      </c>
      <c r="J31" s="50">
        <f t="shared" ref="J31:J34" si="17">I31-D31</f>
        <v>3090702.02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66321.09</v>
      </c>
      <c r="E32" s="22">
        <f t="shared" si="12"/>
        <v>296664</v>
      </c>
      <c r="F32" s="22">
        <f t="shared" si="13"/>
        <v>230342.91</v>
      </c>
      <c r="G32" s="22">
        <f t="shared" si="14"/>
        <v>288396</v>
      </c>
      <c r="H32" s="22">
        <f t="shared" si="15"/>
        <v>222074.91</v>
      </c>
      <c r="I32" s="22">
        <f t="shared" si="16"/>
        <v>279309</v>
      </c>
      <c r="J32" s="50">
        <f t="shared" si="17"/>
        <v>212987.91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312678.90000000002</v>
      </c>
      <c r="E33" s="22">
        <f>X7+X8</f>
        <v>1071318</v>
      </c>
      <c r="F33" s="22">
        <f t="shared" si="13"/>
        <v>758639.1</v>
      </c>
      <c r="G33" s="22">
        <f>X15+X16</f>
        <v>1041592</v>
      </c>
      <c r="H33" s="22">
        <f t="shared" si="15"/>
        <v>728913.1</v>
      </c>
      <c r="I33" s="22">
        <f>X23+X24</f>
        <v>1008941</v>
      </c>
      <c r="J33" s="50">
        <f t="shared" si="17"/>
        <v>696262.1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288946.07</v>
      </c>
      <c r="E34" s="22">
        <f t="shared" si="12"/>
        <v>924093</v>
      </c>
      <c r="F34" s="22">
        <f t="shared" si="13"/>
        <v>635146.93000000005</v>
      </c>
      <c r="G34" s="22">
        <f t="shared" si="14"/>
        <v>898258</v>
      </c>
      <c r="H34" s="22">
        <f t="shared" si="15"/>
        <v>609311.93000000005</v>
      </c>
      <c r="I34" s="22">
        <f t="shared" si="16"/>
        <v>869966</v>
      </c>
      <c r="J34" s="50">
        <f t="shared" si="17"/>
        <v>581019.93000000005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23732.83</v>
      </c>
      <c r="E35" s="22">
        <f t="shared" si="18"/>
        <v>147225</v>
      </c>
      <c r="F35" s="22">
        <f t="shared" si="18"/>
        <v>123492.17</v>
      </c>
      <c r="G35" s="22">
        <f t="shared" si="18"/>
        <v>143334</v>
      </c>
      <c r="H35" s="22">
        <f t="shared" si="18"/>
        <v>119601.17</v>
      </c>
      <c r="I35" s="22">
        <f t="shared" si="18"/>
        <v>138975</v>
      </c>
      <c r="J35" s="50">
        <f t="shared" si="18"/>
        <v>115242.17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74">
        <v>132220.15</v>
      </c>
      <c r="E36" s="22">
        <f>X9</f>
        <v>132576</v>
      </c>
      <c r="F36" s="22">
        <f>E36-D36</f>
        <v>355.85000000000599</v>
      </c>
      <c r="G36" s="22">
        <f>X17</f>
        <v>129008</v>
      </c>
      <c r="H36" s="22">
        <f>G36-D36</f>
        <v>-3212.1499999999901</v>
      </c>
      <c r="I36" s="22">
        <f>X25</f>
        <v>124972</v>
      </c>
      <c r="J36" s="50">
        <f>I36-D36</f>
        <v>-7248.1499999999896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854431.12</v>
      </c>
      <c r="E37" s="22">
        <f>X10</f>
        <v>5143950</v>
      </c>
      <c r="F37" s="22">
        <f>E37-D37</f>
        <v>4289518.88</v>
      </c>
      <c r="G37" s="22">
        <f>X18</f>
        <v>5003908</v>
      </c>
      <c r="H37" s="22">
        <f>G37-D37</f>
        <v>4149476.88</v>
      </c>
      <c r="I37" s="22">
        <f>X26</f>
        <v>4847135</v>
      </c>
      <c r="J37" s="50">
        <f>I37-D37</f>
        <v>3992703.88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4308620.88</v>
      </c>
      <c r="G38" s="18"/>
      <c r="H38" s="22">
        <f>H37+C48+C49</f>
        <v>4168578.88</v>
      </c>
      <c r="I38" s="18"/>
      <c r="J38" s="50">
        <f>J37+C48+C49</f>
        <v>4011805.88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66288</v>
      </c>
      <c r="C43" s="21">
        <v>6890</v>
      </c>
      <c r="D43" s="25">
        <v>26802</v>
      </c>
      <c r="E43" s="21">
        <v>24702</v>
      </c>
      <c r="F43" s="21">
        <v>7123</v>
      </c>
      <c r="G43" s="21">
        <v>268</v>
      </c>
      <c r="H43" s="21">
        <v>245</v>
      </c>
      <c r="I43" s="52">
        <v>258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64504</v>
      </c>
      <c r="C44" s="21">
        <v>6901</v>
      </c>
      <c r="D44" s="25">
        <v>26024</v>
      </c>
      <c r="E44" s="21">
        <v>23924</v>
      </c>
      <c r="F44" s="21">
        <v>6901</v>
      </c>
      <c r="G44" s="21">
        <v>263</v>
      </c>
      <c r="H44" s="21">
        <v>238</v>
      </c>
      <c r="I44" s="52">
        <v>253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62486</v>
      </c>
      <c r="C45" s="28">
        <v>6678</v>
      </c>
      <c r="D45" s="29">
        <v>25246</v>
      </c>
      <c r="E45" s="21">
        <v>23146</v>
      </c>
      <c r="F45" s="21">
        <v>6679</v>
      </c>
      <c r="G45" s="28">
        <v>258</v>
      </c>
      <c r="H45" s="28">
        <v>231</v>
      </c>
      <c r="I45" s="53">
        <v>248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14102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5000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55"/>
  <sheetViews>
    <sheetView topLeftCell="A11" zoomScale="60" zoomScaleNormal="60" workbookViewId="0">
      <selection activeCell="H46" sqref="H46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0">
      <c r="A1" s="68" t="s">
        <v>0</v>
      </c>
      <c r="B1" s="70" t="s">
        <v>128</v>
      </c>
      <c r="C1" s="70"/>
      <c r="D1" s="70" t="s">
        <v>2</v>
      </c>
      <c r="E1" s="70" t="s">
        <v>129</v>
      </c>
      <c r="F1" s="70"/>
      <c r="G1" s="70"/>
      <c r="H1" s="72"/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127</v>
      </c>
      <c r="E4" s="39" t="s">
        <v>25</v>
      </c>
      <c r="F4" s="40">
        <v>53.5</v>
      </c>
      <c r="G4" s="101">
        <f>B43</f>
        <v>68147</v>
      </c>
      <c r="H4" s="38">
        <f>F4*G4</f>
        <v>3645864.5</v>
      </c>
      <c r="I4" s="45">
        <v>3</v>
      </c>
      <c r="J4" s="101">
        <f>E43</f>
        <v>25789</v>
      </c>
      <c r="K4" s="38">
        <f>I4*J4</f>
        <v>77367</v>
      </c>
      <c r="L4" s="45">
        <v>3</v>
      </c>
      <c r="M4" s="101">
        <f>F43</f>
        <v>7234</v>
      </c>
      <c r="N4" s="38">
        <f>L4*M4</f>
        <v>21702</v>
      </c>
      <c r="O4" s="46">
        <v>3</v>
      </c>
      <c r="P4" s="101">
        <f>H43</f>
        <v>251</v>
      </c>
      <c r="Q4" s="38">
        <f>O4*P4</f>
        <v>753</v>
      </c>
      <c r="R4" s="46">
        <v>3</v>
      </c>
      <c r="S4" s="101">
        <f>I43</f>
        <v>266</v>
      </c>
      <c r="T4" s="38">
        <f>R4*S4</f>
        <v>798</v>
      </c>
      <c r="U4" s="46">
        <v>0</v>
      </c>
      <c r="V4" s="101">
        <f>SUM(G43:I43)</f>
        <v>792</v>
      </c>
      <c r="W4" s="38">
        <v>0</v>
      </c>
      <c r="X4" s="62">
        <f t="shared" ref="X4:X7" si="0">T4+Q4+N4+K4+H4</f>
        <v>3746484.5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3.5</v>
      </c>
      <c r="G5" s="102"/>
      <c r="H5" s="38">
        <f>F5*G4</f>
        <v>238514.5</v>
      </c>
      <c r="I5" s="45">
        <v>2</v>
      </c>
      <c r="J5" s="102"/>
      <c r="K5" s="38">
        <f>I5*J4</f>
        <v>51578</v>
      </c>
      <c r="L5" s="45">
        <v>2</v>
      </c>
      <c r="M5" s="102"/>
      <c r="N5" s="38">
        <f>L5*M4</f>
        <v>14468</v>
      </c>
      <c r="O5" s="40">
        <v>2</v>
      </c>
      <c r="P5" s="102"/>
      <c r="Q5" s="38">
        <f>O5*P4</f>
        <v>502</v>
      </c>
      <c r="R5" s="40">
        <v>2</v>
      </c>
      <c r="S5" s="102"/>
      <c r="T5" s="38">
        <f>R5*S4</f>
        <v>532</v>
      </c>
      <c r="U5" s="40">
        <v>0</v>
      </c>
      <c r="V5" s="102"/>
      <c r="W5" s="38">
        <v>0</v>
      </c>
      <c r="X5" s="62">
        <f t="shared" si="0"/>
        <v>305594.5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10.5</v>
      </c>
      <c r="G7" s="102"/>
      <c r="H7" s="38">
        <f>F7*G4</f>
        <v>715543.5</v>
      </c>
      <c r="I7" s="45">
        <v>5</v>
      </c>
      <c r="J7" s="102"/>
      <c r="K7" s="38">
        <f>I7*J4</f>
        <v>128945</v>
      </c>
      <c r="L7" s="45">
        <v>14</v>
      </c>
      <c r="M7" s="102"/>
      <c r="N7" s="38">
        <f>L7*M4</f>
        <v>101276</v>
      </c>
      <c r="O7" s="40">
        <v>5</v>
      </c>
      <c r="P7" s="102"/>
      <c r="Q7" s="38">
        <f>O7*P4</f>
        <v>1255</v>
      </c>
      <c r="R7" s="40">
        <v>14</v>
      </c>
      <c r="S7" s="102"/>
      <c r="T7" s="38">
        <f>R7*S4</f>
        <v>3724</v>
      </c>
      <c r="U7" s="40">
        <v>0</v>
      </c>
      <c r="V7" s="102"/>
      <c r="W7" s="38">
        <v>0</v>
      </c>
      <c r="X7" s="62">
        <f t="shared" si="0"/>
        <v>950743.5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136294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15048</v>
      </c>
      <c r="X8" s="62">
        <f>T8+Q8+N8+K8+H8+W8</f>
        <v>151342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2</v>
      </c>
      <c r="G9" s="102"/>
      <c r="H9" s="38">
        <f>F9*G4</f>
        <v>136294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136294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59</v>
      </c>
      <c r="G10" s="103"/>
      <c r="H10" s="41">
        <f t="shared" ref="H10:L10" si="2">SUM(H4:H9)</f>
        <v>4872510.5</v>
      </c>
      <c r="I10" s="41">
        <f t="shared" si="2"/>
        <v>10</v>
      </c>
      <c r="J10" s="103"/>
      <c r="K10" s="41">
        <f t="shared" si="2"/>
        <v>257890</v>
      </c>
      <c r="L10" s="41">
        <f t="shared" si="2"/>
        <v>19</v>
      </c>
      <c r="M10" s="103"/>
      <c r="N10" s="41">
        <f t="shared" ref="N10:R10" si="3">SUM(N4:N9)</f>
        <v>137446</v>
      </c>
      <c r="O10" s="41">
        <f t="shared" si="3"/>
        <v>10</v>
      </c>
      <c r="P10" s="103"/>
      <c r="Q10" s="41">
        <f t="shared" si="3"/>
        <v>2510</v>
      </c>
      <c r="R10" s="41">
        <f t="shared" si="3"/>
        <v>19</v>
      </c>
      <c r="S10" s="103"/>
      <c r="T10" s="41">
        <f t="shared" ref="T10:W10" si="4">SUM(T4:T9)</f>
        <v>5054</v>
      </c>
      <c r="U10" s="41">
        <f t="shared" si="4"/>
        <v>19</v>
      </c>
      <c r="V10" s="103"/>
      <c r="W10" s="41">
        <f t="shared" si="4"/>
        <v>15048</v>
      </c>
      <c r="X10" s="63">
        <f>T10+Q10+N10+K10+H10+W10</f>
        <v>5290458.5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127</v>
      </c>
      <c r="E12" s="39" t="s">
        <v>25</v>
      </c>
      <c r="F12" s="40">
        <v>53.5</v>
      </c>
      <c r="G12" s="101">
        <f>B44</f>
        <v>66020</v>
      </c>
      <c r="H12" s="38">
        <f>F12*G12</f>
        <v>3532070</v>
      </c>
      <c r="I12" s="46">
        <v>3</v>
      </c>
      <c r="J12" s="101">
        <f>E44</f>
        <v>24901</v>
      </c>
      <c r="K12" s="38">
        <f>I12*J12</f>
        <v>74703</v>
      </c>
      <c r="L12" s="46">
        <v>3</v>
      </c>
      <c r="M12" s="101">
        <f>F44</f>
        <v>7012</v>
      </c>
      <c r="N12" s="38">
        <f>L12*M12</f>
        <v>21036</v>
      </c>
      <c r="O12" s="46">
        <v>3</v>
      </c>
      <c r="P12" s="101">
        <f>H44</f>
        <v>244</v>
      </c>
      <c r="Q12" s="38">
        <f>O12*P12</f>
        <v>732</v>
      </c>
      <c r="R12" s="46">
        <v>3</v>
      </c>
      <c r="S12" s="101">
        <f>I44</f>
        <v>261</v>
      </c>
      <c r="T12" s="38">
        <f>R12*S12</f>
        <v>783</v>
      </c>
      <c r="U12" s="46">
        <v>0</v>
      </c>
      <c r="V12" s="101">
        <f>SUM(G44:I44)</f>
        <v>775</v>
      </c>
      <c r="W12" s="38">
        <v>0</v>
      </c>
      <c r="X12" s="62">
        <f t="shared" si="1"/>
        <v>3629324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3.5</v>
      </c>
      <c r="G13" s="102"/>
      <c r="H13" s="38">
        <f>F13*G12</f>
        <v>231070</v>
      </c>
      <c r="I13" s="40">
        <v>2</v>
      </c>
      <c r="J13" s="102"/>
      <c r="K13" s="38">
        <f>I13*J12</f>
        <v>49802</v>
      </c>
      <c r="L13" s="40">
        <v>2</v>
      </c>
      <c r="M13" s="102"/>
      <c r="N13" s="38">
        <f>L13*M12</f>
        <v>14024</v>
      </c>
      <c r="O13" s="40">
        <v>2</v>
      </c>
      <c r="P13" s="102"/>
      <c r="Q13" s="38">
        <f>O13*P12</f>
        <v>488</v>
      </c>
      <c r="R13" s="40">
        <v>2</v>
      </c>
      <c r="S13" s="102"/>
      <c r="T13" s="38">
        <f>R13*S12</f>
        <v>522</v>
      </c>
      <c r="U13" s="40">
        <v>0</v>
      </c>
      <c r="V13" s="102"/>
      <c r="W13" s="38">
        <v>0</v>
      </c>
      <c r="X13" s="62">
        <f t="shared" si="1"/>
        <v>295906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10.5</v>
      </c>
      <c r="G15" s="102"/>
      <c r="H15" s="38">
        <f>F15*G12</f>
        <v>693210</v>
      </c>
      <c r="I15" s="40">
        <v>5</v>
      </c>
      <c r="J15" s="102"/>
      <c r="K15" s="38">
        <f>I15*J12</f>
        <v>124505</v>
      </c>
      <c r="L15" s="40">
        <v>14</v>
      </c>
      <c r="M15" s="102"/>
      <c r="N15" s="38">
        <f>L15*M12</f>
        <v>98168</v>
      </c>
      <c r="O15" s="40">
        <v>5</v>
      </c>
      <c r="P15" s="102"/>
      <c r="Q15" s="38">
        <f>O15*P12</f>
        <v>1220</v>
      </c>
      <c r="R15" s="40">
        <v>14</v>
      </c>
      <c r="S15" s="102"/>
      <c r="T15" s="38">
        <f>R15*S12</f>
        <v>3654</v>
      </c>
      <c r="U15" s="40">
        <v>0</v>
      </c>
      <c r="V15" s="102"/>
      <c r="W15" s="38">
        <v>0</v>
      </c>
      <c r="X15" s="62">
        <f t="shared" si="1"/>
        <v>920757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132040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14725</v>
      </c>
      <c r="X16" s="62">
        <f>T16+Q16+N16+K16+H16+W16</f>
        <v>146765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2</v>
      </c>
      <c r="G17" s="102"/>
      <c r="H17" s="38">
        <f>F17*G12</f>
        <v>132040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132040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59</v>
      </c>
      <c r="G18" s="103"/>
      <c r="H18" s="41">
        <f t="shared" ref="H18:L18" si="6">SUM(H12:H17)</f>
        <v>4720430</v>
      </c>
      <c r="I18" s="41">
        <f t="shared" si="6"/>
        <v>10</v>
      </c>
      <c r="J18" s="103"/>
      <c r="K18" s="41">
        <f t="shared" si="6"/>
        <v>249010</v>
      </c>
      <c r="L18" s="41">
        <f t="shared" si="6"/>
        <v>19</v>
      </c>
      <c r="M18" s="103"/>
      <c r="N18" s="41">
        <f t="shared" ref="N18:R18" si="7">SUM(N12:N17)</f>
        <v>133228</v>
      </c>
      <c r="O18" s="41">
        <f t="shared" si="7"/>
        <v>10</v>
      </c>
      <c r="P18" s="103"/>
      <c r="Q18" s="41">
        <f t="shared" si="7"/>
        <v>2440</v>
      </c>
      <c r="R18" s="41">
        <f t="shared" si="7"/>
        <v>19</v>
      </c>
      <c r="S18" s="103"/>
      <c r="T18" s="41">
        <f t="shared" ref="T18:W18" si="8">SUM(T12:T17)</f>
        <v>4959</v>
      </c>
      <c r="U18" s="41">
        <f t="shared" si="8"/>
        <v>19</v>
      </c>
      <c r="V18" s="103"/>
      <c r="W18" s="41">
        <f t="shared" si="8"/>
        <v>14725</v>
      </c>
      <c r="X18" s="63">
        <f>T18+Q18+N18+K18+H18+W18</f>
        <v>5124792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127</v>
      </c>
      <c r="E20" s="39" t="s">
        <v>25</v>
      </c>
      <c r="F20" s="40">
        <v>53.5</v>
      </c>
      <c r="G20" s="101">
        <f>B45</f>
        <v>64892</v>
      </c>
      <c r="H20" s="38">
        <f>F20*G20</f>
        <v>3471722</v>
      </c>
      <c r="I20" s="46">
        <v>3</v>
      </c>
      <c r="J20" s="101">
        <f>E45</f>
        <v>24123</v>
      </c>
      <c r="K20" s="38">
        <f>I20*J20</f>
        <v>72369</v>
      </c>
      <c r="L20" s="46">
        <v>3</v>
      </c>
      <c r="M20" s="101">
        <f>F45</f>
        <v>6790</v>
      </c>
      <c r="N20" s="38">
        <f>L20*M20</f>
        <v>20370</v>
      </c>
      <c r="O20" s="46">
        <v>3</v>
      </c>
      <c r="P20" s="101">
        <f>H45</f>
        <v>237</v>
      </c>
      <c r="Q20" s="38">
        <f>O20*P20</f>
        <v>711</v>
      </c>
      <c r="R20" s="46">
        <v>3</v>
      </c>
      <c r="S20" s="101">
        <f>I45</f>
        <v>256</v>
      </c>
      <c r="T20" s="38">
        <f>R20*S20</f>
        <v>768</v>
      </c>
      <c r="U20" s="46">
        <v>0</v>
      </c>
      <c r="V20" s="101">
        <f>SUM((G45:I45))</f>
        <v>758</v>
      </c>
      <c r="W20" s="38">
        <v>0</v>
      </c>
      <c r="X20" s="62">
        <f t="shared" si="5"/>
        <v>3565940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3.5</v>
      </c>
      <c r="G21" s="102"/>
      <c r="H21" s="38">
        <f>F21*G20</f>
        <v>227122</v>
      </c>
      <c r="I21" s="40">
        <v>2</v>
      </c>
      <c r="J21" s="102"/>
      <c r="K21" s="38">
        <f>I21*J20</f>
        <v>48246</v>
      </c>
      <c r="L21" s="40">
        <v>2</v>
      </c>
      <c r="M21" s="102"/>
      <c r="N21" s="38">
        <f>L21*M20</f>
        <v>13580</v>
      </c>
      <c r="O21" s="40">
        <v>2</v>
      </c>
      <c r="P21" s="102"/>
      <c r="Q21" s="38">
        <f>O21*P20</f>
        <v>474</v>
      </c>
      <c r="R21" s="40">
        <v>2</v>
      </c>
      <c r="S21" s="102"/>
      <c r="T21" s="38">
        <f>R21*S20</f>
        <v>512</v>
      </c>
      <c r="U21" s="40">
        <v>0</v>
      </c>
      <c r="V21" s="102"/>
      <c r="W21" s="38">
        <v>0</v>
      </c>
      <c r="X21" s="62">
        <f t="shared" si="5"/>
        <v>289934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10.5</v>
      </c>
      <c r="G23" s="102"/>
      <c r="H23" s="38">
        <f>F23*G20</f>
        <v>681366</v>
      </c>
      <c r="I23" s="40">
        <v>5</v>
      </c>
      <c r="J23" s="102"/>
      <c r="K23" s="38">
        <f>I23*J20</f>
        <v>120615</v>
      </c>
      <c r="L23" s="40">
        <v>14</v>
      </c>
      <c r="M23" s="102"/>
      <c r="N23" s="38">
        <f>L23*M20</f>
        <v>95060</v>
      </c>
      <c r="O23" s="40">
        <v>5</v>
      </c>
      <c r="P23" s="102"/>
      <c r="Q23" s="38">
        <f>O23*P20</f>
        <v>1185</v>
      </c>
      <c r="R23" s="40">
        <v>14</v>
      </c>
      <c r="S23" s="102"/>
      <c r="T23" s="38">
        <f>R23*S20</f>
        <v>3584</v>
      </c>
      <c r="U23" s="40">
        <v>0</v>
      </c>
      <c r="V23" s="102"/>
      <c r="W23" s="38">
        <v>0</v>
      </c>
      <c r="X23" s="62">
        <f t="shared" si="5"/>
        <v>901810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129784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14402</v>
      </c>
      <c r="X24" s="62">
        <f>T24+Q24+N24+K24+H24+W24</f>
        <v>144186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2</v>
      </c>
      <c r="G25" s="102"/>
      <c r="H25" s="38">
        <f>F25*G20</f>
        <v>129784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129784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59</v>
      </c>
      <c r="G26" s="104"/>
      <c r="H26" s="43">
        <f t="shared" ref="H26:L26" si="9">SUM(H20:H25)</f>
        <v>4639778</v>
      </c>
      <c r="I26" s="43">
        <f t="shared" si="9"/>
        <v>10</v>
      </c>
      <c r="J26" s="104"/>
      <c r="K26" s="43">
        <f t="shared" si="9"/>
        <v>241230</v>
      </c>
      <c r="L26" s="43">
        <f t="shared" si="9"/>
        <v>19</v>
      </c>
      <c r="M26" s="104"/>
      <c r="N26" s="43">
        <f t="shared" ref="N26:R26" si="10">SUM(N20:N25)</f>
        <v>129010</v>
      </c>
      <c r="O26" s="43">
        <f t="shared" si="10"/>
        <v>10</v>
      </c>
      <c r="P26" s="104"/>
      <c r="Q26" s="43">
        <f t="shared" si="10"/>
        <v>2370</v>
      </c>
      <c r="R26" s="43">
        <f t="shared" si="10"/>
        <v>19</v>
      </c>
      <c r="S26" s="104"/>
      <c r="T26" s="43">
        <f t="shared" ref="T26:W26" si="11">SUM(T20:T25)</f>
        <v>4864</v>
      </c>
      <c r="U26" s="43">
        <f t="shared" si="11"/>
        <v>19</v>
      </c>
      <c r="V26" s="104"/>
      <c r="W26" s="43">
        <f t="shared" si="11"/>
        <v>14402</v>
      </c>
      <c r="X26" s="65">
        <f>T26+Q26+N26+K26+H26+W26</f>
        <v>5031654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362109.87</v>
      </c>
      <c r="E31" s="22">
        <f t="shared" ref="E31:E34" si="12">X4</f>
        <v>3746484.5</v>
      </c>
      <c r="F31" s="22">
        <f t="shared" ref="F31:F34" si="13">E31-D31</f>
        <v>3384374.63</v>
      </c>
      <c r="G31" s="22">
        <f t="shared" ref="G31:G34" si="14">X12</f>
        <v>3629324</v>
      </c>
      <c r="H31" s="22">
        <f t="shared" ref="H31:H34" si="15">G31-D31</f>
        <v>3267214.13</v>
      </c>
      <c r="I31" s="22">
        <f t="shared" ref="I31:I34" si="16">X20</f>
        <v>3565940</v>
      </c>
      <c r="J31" s="50">
        <f t="shared" ref="J31:J34" si="17">I31-D31</f>
        <v>3203830.13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72765.429999999993</v>
      </c>
      <c r="E32" s="22">
        <f t="shared" si="12"/>
        <v>305594.5</v>
      </c>
      <c r="F32" s="22">
        <f t="shared" si="13"/>
        <v>232829.07</v>
      </c>
      <c r="G32" s="22">
        <f t="shared" si="14"/>
        <v>295906</v>
      </c>
      <c r="H32" s="22">
        <f t="shared" si="15"/>
        <v>223140.57</v>
      </c>
      <c r="I32" s="22">
        <f t="shared" si="16"/>
        <v>289934</v>
      </c>
      <c r="J32" s="50">
        <f t="shared" si="17"/>
        <v>217168.57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325210.98</v>
      </c>
      <c r="E33" s="22">
        <f>X7+X8</f>
        <v>1102085.5</v>
      </c>
      <c r="F33" s="22">
        <f t="shared" si="13"/>
        <v>776874.52</v>
      </c>
      <c r="G33" s="22">
        <f>X15+X16</f>
        <v>1067522</v>
      </c>
      <c r="H33" s="22">
        <f t="shared" si="15"/>
        <v>742311.02</v>
      </c>
      <c r="I33" s="22">
        <f>X23+X24</f>
        <v>1045996</v>
      </c>
      <c r="J33" s="50">
        <f t="shared" si="17"/>
        <v>720785.02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74">
        <v>302000</v>
      </c>
      <c r="E34" s="22">
        <f t="shared" si="12"/>
        <v>950743.5</v>
      </c>
      <c r="F34" s="22">
        <f t="shared" si="13"/>
        <v>648743.5</v>
      </c>
      <c r="G34" s="22">
        <f t="shared" si="14"/>
        <v>920757</v>
      </c>
      <c r="H34" s="22">
        <f t="shared" si="15"/>
        <v>618757</v>
      </c>
      <c r="I34" s="22">
        <f t="shared" si="16"/>
        <v>901810</v>
      </c>
      <c r="J34" s="50">
        <f t="shared" si="17"/>
        <v>599810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23210.98</v>
      </c>
      <c r="E35" s="22">
        <f t="shared" si="18"/>
        <v>151342</v>
      </c>
      <c r="F35" s="22">
        <f t="shared" si="18"/>
        <v>128131.02</v>
      </c>
      <c r="G35" s="22">
        <f t="shared" si="18"/>
        <v>146765</v>
      </c>
      <c r="H35" s="22">
        <f t="shared" si="18"/>
        <v>123554.02</v>
      </c>
      <c r="I35" s="22">
        <f t="shared" si="18"/>
        <v>144186</v>
      </c>
      <c r="J35" s="50">
        <f t="shared" si="18"/>
        <v>120975.02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74">
        <v>220000.15</v>
      </c>
      <c r="E36" s="22">
        <f>X9</f>
        <v>136294</v>
      </c>
      <c r="F36" s="22">
        <f>E36-D36</f>
        <v>-83706.149999999994</v>
      </c>
      <c r="G36" s="22">
        <f>X17</f>
        <v>132040</v>
      </c>
      <c r="H36" s="22">
        <f>G36-D36</f>
        <v>-87960.15</v>
      </c>
      <c r="I36" s="22">
        <f>X25</f>
        <v>129784</v>
      </c>
      <c r="J36" s="50">
        <f>I36-D36</f>
        <v>-90216.15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980086.43</v>
      </c>
      <c r="E37" s="22">
        <f>X10</f>
        <v>5290458.5</v>
      </c>
      <c r="F37" s="22">
        <f>E37-D37</f>
        <v>4310372.07</v>
      </c>
      <c r="G37" s="22">
        <f>X18</f>
        <v>5124792</v>
      </c>
      <c r="H37" s="22">
        <f>G37-D37</f>
        <v>4144705.57</v>
      </c>
      <c r="I37" s="22">
        <f>X26</f>
        <v>5031654</v>
      </c>
      <c r="J37" s="50">
        <f>I37-D37</f>
        <v>4051567.57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4339392.07</v>
      </c>
      <c r="G38" s="18"/>
      <c r="H38" s="22">
        <f>H37+C48+C49</f>
        <v>4173725.57</v>
      </c>
      <c r="I38" s="18"/>
      <c r="J38" s="50">
        <f>J37+C48+C49</f>
        <v>4080587.57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68147</v>
      </c>
      <c r="C43" s="21">
        <v>6678</v>
      </c>
      <c r="D43" s="25">
        <v>27654</v>
      </c>
      <c r="E43" s="21">
        <v>25789</v>
      </c>
      <c r="F43" s="21">
        <v>7234</v>
      </c>
      <c r="G43" s="21">
        <v>275</v>
      </c>
      <c r="H43" s="21">
        <v>251</v>
      </c>
      <c r="I43" s="52">
        <v>266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66020</v>
      </c>
      <c r="C44" s="21">
        <v>6456</v>
      </c>
      <c r="D44" s="25">
        <v>26876</v>
      </c>
      <c r="E44" s="21">
        <v>24901</v>
      </c>
      <c r="F44" s="21">
        <v>7012</v>
      </c>
      <c r="G44" s="21">
        <v>270</v>
      </c>
      <c r="H44" s="21">
        <v>244</v>
      </c>
      <c r="I44" s="52">
        <v>261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64892</v>
      </c>
      <c r="C45" s="28">
        <v>7123</v>
      </c>
      <c r="D45" s="29">
        <v>26098</v>
      </c>
      <c r="E45" s="21">
        <v>24123</v>
      </c>
      <c r="F45" s="21">
        <v>6790</v>
      </c>
      <c r="G45" s="28">
        <v>265</v>
      </c>
      <c r="H45" s="28">
        <v>237</v>
      </c>
      <c r="I45" s="53">
        <v>256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14020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15000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55"/>
  <sheetViews>
    <sheetView topLeftCell="A24" zoomScale="60" zoomScaleNormal="60" workbookViewId="0">
      <selection activeCell="F4" sqref="F4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ht="34">
      <c r="A1" s="68" t="s">
        <v>0</v>
      </c>
      <c r="B1" s="69" t="s">
        <v>130</v>
      </c>
      <c r="C1" s="70"/>
      <c r="D1" s="70" t="s">
        <v>2</v>
      </c>
      <c r="E1" s="71" t="s">
        <v>131</v>
      </c>
      <c r="F1" s="70"/>
      <c r="G1" s="6" t="s">
        <v>132</v>
      </c>
      <c r="H1" s="6" t="s">
        <v>1</v>
      </c>
      <c r="I1" s="72"/>
      <c r="J1" s="72"/>
      <c r="K1" s="72"/>
      <c r="L1" s="72"/>
      <c r="M1" s="72"/>
      <c r="N1" s="72"/>
      <c r="O1" s="75" t="s">
        <v>4</v>
      </c>
      <c r="P1" s="75"/>
      <c r="Q1" s="75"/>
      <c r="R1" s="75"/>
      <c r="S1" s="75"/>
      <c r="T1" s="75"/>
      <c r="U1" s="76"/>
      <c r="V1" s="75"/>
      <c r="W1" s="75"/>
      <c r="X1" s="73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24</v>
      </c>
      <c r="E4" s="39" t="s">
        <v>25</v>
      </c>
      <c r="F4" s="40">
        <v>12.95</v>
      </c>
      <c r="G4" s="101">
        <f>B43</f>
        <v>247028</v>
      </c>
      <c r="H4" s="38">
        <f>F4*G4</f>
        <v>3199012.6</v>
      </c>
      <c r="I4" s="45">
        <v>3</v>
      </c>
      <c r="J4" s="101">
        <f>E43</f>
        <v>24567</v>
      </c>
      <c r="K4" s="38">
        <f>I4*J4</f>
        <v>73701</v>
      </c>
      <c r="L4" s="45">
        <v>3</v>
      </c>
      <c r="M4" s="101">
        <f>F43</f>
        <v>6789</v>
      </c>
      <c r="N4" s="38">
        <f>L4*M4</f>
        <v>20367</v>
      </c>
      <c r="O4" s="46">
        <v>3</v>
      </c>
      <c r="P4" s="101">
        <f>H43</f>
        <v>245</v>
      </c>
      <c r="Q4" s="38">
        <f>O4*P4</f>
        <v>735</v>
      </c>
      <c r="R4" s="46">
        <v>3</v>
      </c>
      <c r="S4" s="101">
        <f>I43</f>
        <v>255</v>
      </c>
      <c r="T4" s="38">
        <f>R4*S4</f>
        <v>765</v>
      </c>
      <c r="U4" s="46">
        <v>0</v>
      </c>
      <c r="V4" s="101">
        <f>SUM(G43:I43)</f>
        <v>760</v>
      </c>
      <c r="W4" s="38">
        <v>0</v>
      </c>
      <c r="X4" s="62">
        <f t="shared" ref="X4:X7" si="0">T4+Q4+N4+K4+H4</f>
        <v>3294580.6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494056</v>
      </c>
      <c r="I5" s="45">
        <v>2</v>
      </c>
      <c r="J5" s="102"/>
      <c r="K5" s="38">
        <f>I5*J4</f>
        <v>49134</v>
      </c>
      <c r="L5" s="45">
        <v>2</v>
      </c>
      <c r="M5" s="102"/>
      <c r="N5" s="38">
        <f>L5*M4</f>
        <v>13578</v>
      </c>
      <c r="O5" s="40">
        <v>2</v>
      </c>
      <c r="P5" s="102"/>
      <c r="Q5" s="38">
        <f>O5*P4</f>
        <v>490</v>
      </c>
      <c r="R5" s="40">
        <v>2</v>
      </c>
      <c r="S5" s="102"/>
      <c r="T5" s="38">
        <f>R5*S4</f>
        <v>510</v>
      </c>
      <c r="U5" s="40">
        <v>0</v>
      </c>
      <c r="V5" s="102"/>
      <c r="W5" s="38">
        <v>0</v>
      </c>
      <c r="X5" s="62">
        <f t="shared" si="0"/>
        <v>557768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2470280</v>
      </c>
      <c r="I7" s="45">
        <v>5</v>
      </c>
      <c r="J7" s="102"/>
      <c r="K7" s="38">
        <f>I7*J4</f>
        <v>122835</v>
      </c>
      <c r="L7" s="45">
        <v>14</v>
      </c>
      <c r="M7" s="102"/>
      <c r="N7" s="38">
        <f>L7*M4</f>
        <v>95046</v>
      </c>
      <c r="O7" s="40">
        <v>5</v>
      </c>
      <c r="P7" s="102"/>
      <c r="Q7" s="38">
        <f>O7*P4</f>
        <v>1225</v>
      </c>
      <c r="R7" s="40">
        <v>14</v>
      </c>
      <c r="S7" s="102"/>
      <c r="T7" s="38">
        <f>R7*S4</f>
        <v>3570</v>
      </c>
      <c r="U7" s="40">
        <v>0</v>
      </c>
      <c r="V7" s="102"/>
      <c r="W7" s="38">
        <v>0</v>
      </c>
      <c r="X7" s="62">
        <f t="shared" si="0"/>
        <v>2692956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494056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14440</v>
      </c>
      <c r="X8" s="62">
        <f>T8+Q8+N8+K8+H8+W8</f>
        <v>508496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382893.4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382893.4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16.5</v>
      </c>
      <c r="G10" s="103"/>
      <c r="H10" s="41">
        <f t="shared" ref="H10:L10" si="2">SUM(H4:H9)</f>
        <v>7040298</v>
      </c>
      <c r="I10" s="41">
        <f t="shared" si="2"/>
        <v>10</v>
      </c>
      <c r="J10" s="103"/>
      <c r="K10" s="41">
        <f t="shared" si="2"/>
        <v>245670</v>
      </c>
      <c r="L10" s="41">
        <f t="shared" si="2"/>
        <v>19</v>
      </c>
      <c r="M10" s="103"/>
      <c r="N10" s="41">
        <f t="shared" ref="N10:R10" si="3">SUM(N4:N9)</f>
        <v>128991</v>
      </c>
      <c r="O10" s="41">
        <f t="shared" si="3"/>
        <v>10</v>
      </c>
      <c r="P10" s="103"/>
      <c r="Q10" s="41">
        <f t="shared" si="3"/>
        <v>2450</v>
      </c>
      <c r="R10" s="41">
        <f t="shared" si="3"/>
        <v>19</v>
      </c>
      <c r="S10" s="103"/>
      <c r="T10" s="41">
        <f t="shared" ref="T10:W10" si="4">SUM(T4:T9)</f>
        <v>4845</v>
      </c>
      <c r="U10" s="41">
        <f t="shared" si="4"/>
        <v>19</v>
      </c>
      <c r="V10" s="103"/>
      <c r="W10" s="41">
        <f t="shared" si="4"/>
        <v>14440</v>
      </c>
      <c r="X10" s="63">
        <f>T10+Q10+N10+K10+H10+W10</f>
        <v>7436694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24</v>
      </c>
      <c r="E12" s="39" t="s">
        <v>25</v>
      </c>
      <c r="F12" s="40">
        <v>12.95</v>
      </c>
      <c r="G12" s="101">
        <f>B44</f>
        <v>266310</v>
      </c>
      <c r="H12" s="38">
        <f>F12*G12</f>
        <v>3448714.5</v>
      </c>
      <c r="I12" s="46">
        <v>3</v>
      </c>
      <c r="J12" s="101">
        <f>E44</f>
        <v>23789</v>
      </c>
      <c r="K12" s="38">
        <f>I12*J12</f>
        <v>71367</v>
      </c>
      <c r="L12" s="46">
        <v>3</v>
      </c>
      <c r="M12" s="101">
        <f>F44</f>
        <v>6543</v>
      </c>
      <c r="N12" s="38">
        <f>L12*M12</f>
        <v>19629</v>
      </c>
      <c r="O12" s="46">
        <v>3</v>
      </c>
      <c r="P12" s="101">
        <f>H44</f>
        <v>238</v>
      </c>
      <c r="Q12" s="38">
        <f>O12*P12</f>
        <v>714</v>
      </c>
      <c r="R12" s="46">
        <v>3</v>
      </c>
      <c r="S12" s="101">
        <f>I44</f>
        <v>250</v>
      </c>
      <c r="T12" s="38">
        <f>R12*S12</f>
        <v>750</v>
      </c>
      <c r="U12" s="46">
        <v>0</v>
      </c>
      <c r="V12" s="101">
        <f>SUM(G44:I44)</f>
        <v>743</v>
      </c>
      <c r="W12" s="38">
        <v>0</v>
      </c>
      <c r="X12" s="62">
        <f t="shared" si="1"/>
        <v>3541174.5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532620</v>
      </c>
      <c r="I13" s="40">
        <v>2</v>
      </c>
      <c r="J13" s="102"/>
      <c r="K13" s="38">
        <f>I13*J12</f>
        <v>47578</v>
      </c>
      <c r="L13" s="40">
        <v>2</v>
      </c>
      <c r="M13" s="102"/>
      <c r="N13" s="38">
        <f>L13*M12</f>
        <v>13086</v>
      </c>
      <c r="O13" s="40">
        <v>2</v>
      </c>
      <c r="P13" s="102"/>
      <c r="Q13" s="38">
        <f>O13*P12</f>
        <v>476</v>
      </c>
      <c r="R13" s="40">
        <v>2</v>
      </c>
      <c r="S13" s="102"/>
      <c r="T13" s="38">
        <f>R13*S12</f>
        <v>500</v>
      </c>
      <c r="U13" s="40">
        <v>0</v>
      </c>
      <c r="V13" s="102"/>
      <c r="W13" s="38">
        <v>0</v>
      </c>
      <c r="X13" s="62">
        <f t="shared" si="1"/>
        <v>594260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2663100</v>
      </c>
      <c r="I15" s="40">
        <v>5</v>
      </c>
      <c r="J15" s="102"/>
      <c r="K15" s="38">
        <f>I15*J12</f>
        <v>118945</v>
      </c>
      <c r="L15" s="40">
        <v>14</v>
      </c>
      <c r="M15" s="102"/>
      <c r="N15" s="38">
        <f>L15*M12</f>
        <v>91602</v>
      </c>
      <c r="O15" s="40">
        <v>5</v>
      </c>
      <c r="P15" s="102"/>
      <c r="Q15" s="38">
        <f>O15*P12</f>
        <v>1190</v>
      </c>
      <c r="R15" s="40">
        <v>14</v>
      </c>
      <c r="S15" s="102"/>
      <c r="T15" s="38">
        <f>R15*S12</f>
        <v>3500</v>
      </c>
      <c r="U15" s="40">
        <v>0</v>
      </c>
      <c r="V15" s="102"/>
      <c r="W15" s="38">
        <v>0</v>
      </c>
      <c r="X15" s="62">
        <f t="shared" si="1"/>
        <v>2878337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532620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14117</v>
      </c>
      <c r="X16" s="62">
        <f>T16+Q16+N16+K16+H16+W16</f>
        <v>546737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412780.5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412780.5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16.5</v>
      </c>
      <c r="G18" s="103"/>
      <c r="H18" s="41">
        <f t="shared" ref="H18:L18" si="6">SUM(H12:H17)</f>
        <v>7589835</v>
      </c>
      <c r="I18" s="41">
        <f t="shared" si="6"/>
        <v>10</v>
      </c>
      <c r="J18" s="103"/>
      <c r="K18" s="41">
        <f t="shared" si="6"/>
        <v>237890</v>
      </c>
      <c r="L18" s="41">
        <f t="shared" si="6"/>
        <v>19</v>
      </c>
      <c r="M18" s="103"/>
      <c r="N18" s="41">
        <f t="shared" ref="N18:R18" si="7">SUM(N12:N17)</f>
        <v>124317</v>
      </c>
      <c r="O18" s="41">
        <f t="shared" si="7"/>
        <v>10</v>
      </c>
      <c r="P18" s="103"/>
      <c r="Q18" s="41">
        <f t="shared" si="7"/>
        <v>2380</v>
      </c>
      <c r="R18" s="41">
        <f t="shared" si="7"/>
        <v>19</v>
      </c>
      <c r="S18" s="103"/>
      <c r="T18" s="41">
        <f t="shared" ref="T18:W18" si="8">SUM(T12:T17)</f>
        <v>4750</v>
      </c>
      <c r="U18" s="41">
        <f t="shared" si="8"/>
        <v>19</v>
      </c>
      <c r="V18" s="103"/>
      <c r="W18" s="41">
        <f t="shared" si="8"/>
        <v>14117</v>
      </c>
      <c r="X18" s="63">
        <f>T18+Q18+N18+K18+H18+W18</f>
        <v>7973289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24</v>
      </c>
      <c r="E20" s="39" t="s">
        <v>25</v>
      </c>
      <c r="F20" s="40">
        <v>12.95</v>
      </c>
      <c r="G20" s="101">
        <f>B45</f>
        <v>252708</v>
      </c>
      <c r="H20" s="38">
        <f>F20*G20</f>
        <v>3272568.6</v>
      </c>
      <c r="I20" s="46">
        <v>3</v>
      </c>
      <c r="J20" s="101">
        <f>E45</f>
        <v>22901</v>
      </c>
      <c r="K20" s="38">
        <f>I20*J20</f>
        <v>68703</v>
      </c>
      <c r="L20" s="46">
        <v>3</v>
      </c>
      <c r="M20" s="101">
        <f>F45</f>
        <v>6305</v>
      </c>
      <c r="N20" s="38">
        <f>L20*M20</f>
        <v>18915</v>
      </c>
      <c r="O20" s="46">
        <v>3</v>
      </c>
      <c r="P20" s="101">
        <f>H45</f>
        <v>230</v>
      </c>
      <c r="Q20" s="38">
        <f>O20*P20</f>
        <v>690</v>
      </c>
      <c r="R20" s="46">
        <v>3</v>
      </c>
      <c r="S20" s="101">
        <f>I45</f>
        <v>245</v>
      </c>
      <c r="T20" s="38">
        <f>R20*S20</f>
        <v>735</v>
      </c>
      <c r="U20" s="46">
        <v>0</v>
      </c>
      <c r="V20" s="101">
        <f>SUM((G45:I45))</f>
        <v>725</v>
      </c>
      <c r="W20" s="38">
        <v>0</v>
      </c>
      <c r="X20" s="62">
        <f t="shared" si="5"/>
        <v>3361611.6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505416</v>
      </c>
      <c r="I21" s="40">
        <v>2</v>
      </c>
      <c r="J21" s="102"/>
      <c r="K21" s="38">
        <f>I21*J20</f>
        <v>45802</v>
      </c>
      <c r="L21" s="40">
        <v>2</v>
      </c>
      <c r="M21" s="102"/>
      <c r="N21" s="38">
        <f>L21*M20</f>
        <v>12610</v>
      </c>
      <c r="O21" s="40">
        <v>2</v>
      </c>
      <c r="P21" s="102"/>
      <c r="Q21" s="38">
        <f>O21*P20</f>
        <v>460</v>
      </c>
      <c r="R21" s="40">
        <v>2</v>
      </c>
      <c r="S21" s="102"/>
      <c r="T21" s="38">
        <f>R21*S20</f>
        <v>490</v>
      </c>
      <c r="U21" s="40">
        <v>0</v>
      </c>
      <c r="V21" s="102"/>
      <c r="W21" s="38">
        <v>0</v>
      </c>
      <c r="X21" s="62">
        <f t="shared" si="5"/>
        <v>564778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2527080</v>
      </c>
      <c r="I23" s="40">
        <v>5</v>
      </c>
      <c r="J23" s="102"/>
      <c r="K23" s="38">
        <f>I23*J20</f>
        <v>114505</v>
      </c>
      <c r="L23" s="40">
        <v>14</v>
      </c>
      <c r="M23" s="102"/>
      <c r="N23" s="38">
        <f>L23*M20</f>
        <v>88270</v>
      </c>
      <c r="O23" s="40">
        <v>5</v>
      </c>
      <c r="P23" s="102"/>
      <c r="Q23" s="38">
        <f>O23*P20</f>
        <v>1150</v>
      </c>
      <c r="R23" s="40">
        <v>14</v>
      </c>
      <c r="S23" s="102"/>
      <c r="T23" s="38">
        <f>R23*S20</f>
        <v>3430</v>
      </c>
      <c r="U23" s="40">
        <v>0</v>
      </c>
      <c r="V23" s="102"/>
      <c r="W23" s="38">
        <v>0</v>
      </c>
      <c r="X23" s="62">
        <f t="shared" si="5"/>
        <v>2734435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505416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13775</v>
      </c>
      <c r="X24" s="62">
        <f>T24+Q24+N24+K24+H24+W24</f>
        <v>519191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391697.4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391697.4</v>
      </c>
      <c r="Y25" s="36"/>
      <c r="Z25" s="36"/>
    </row>
    <row r="26" spans="1:26" s="2" customFormat="1" ht="16">
      <c r="A26" s="115"/>
      <c r="B26" s="116"/>
      <c r="C26" s="96"/>
      <c r="D26" s="100"/>
      <c r="E26" s="13" t="s">
        <v>31</v>
      </c>
      <c r="F26" s="43">
        <f>F20+F21+F22+F25</f>
        <v>16.5</v>
      </c>
      <c r="G26" s="104"/>
      <c r="H26" s="43">
        <f t="shared" ref="H26:L26" si="9">SUM(H20:H25)</f>
        <v>7202178</v>
      </c>
      <c r="I26" s="43">
        <f t="shared" si="9"/>
        <v>10</v>
      </c>
      <c r="J26" s="104"/>
      <c r="K26" s="43">
        <f t="shared" si="9"/>
        <v>229010</v>
      </c>
      <c r="L26" s="43">
        <f t="shared" si="9"/>
        <v>19</v>
      </c>
      <c r="M26" s="104"/>
      <c r="N26" s="43">
        <f t="shared" ref="N26:R26" si="10">SUM(N20:N25)</f>
        <v>119795</v>
      </c>
      <c r="O26" s="43">
        <f t="shared" si="10"/>
        <v>10</v>
      </c>
      <c r="P26" s="104"/>
      <c r="Q26" s="43">
        <f t="shared" si="10"/>
        <v>2300</v>
      </c>
      <c r="R26" s="43">
        <f t="shared" si="10"/>
        <v>19</v>
      </c>
      <c r="S26" s="104"/>
      <c r="T26" s="43">
        <f t="shared" ref="T26:W26" si="11">SUM(T20:T25)</f>
        <v>4655</v>
      </c>
      <c r="U26" s="43">
        <f t="shared" si="11"/>
        <v>19</v>
      </c>
      <c r="V26" s="104"/>
      <c r="W26" s="43">
        <f t="shared" si="11"/>
        <v>13775</v>
      </c>
      <c r="X26" s="65">
        <f>T26+Q26+N26+K26+H26+W26</f>
        <v>7571713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350217.43</v>
      </c>
      <c r="E31" s="22">
        <f t="shared" ref="E31:E34" si="12">X4</f>
        <v>3294580.6</v>
      </c>
      <c r="F31" s="22">
        <f t="shared" ref="F31:F34" si="13">E31-D31</f>
        <v>2944363.17</v>
      </c>
      <c r="G31" s="22">
        <f t="shared" ref="G31:G34" si="14">X12</f>
        <v>3541174.5</v>
      </c>
      <c r="H31" s="22">
        <f t="shared" ref="H31:H34" si="15">G31-D31</f>
        <v>3190957.07</v>
      </c>
      <c r="I31" s="22">
        <f t="shared" ref="I31:I34" si="16">X20</f>
        <v>3361611.6</v>
      </c>
      <c r="J31" s="50">
        <f t="shared" ref="J31:J34" si="17">I31-D31</f>
        <v>3011394.17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68743.92</v>
      </c>
      <c r="E32" s="22">
        <f t="shared" si="12"/>
        <v>557768</v>
      </c>
      <c r="F32" s="22">
        <f t="shared" si="13"/>
        <v>489024.08</v>
      </c>
      <c r="G32" s="22">
        <f t="shared" si="14"/>
        <v>594260</v>
      </c>
      <c r="H32" s="22">
        <f t="shared" si="15"/>
        <v>525516.07999999996</v>
      </c>
      <c r="I32" s="22">
        <f t="shared" si="16"/>
        <v>564778</v>
      </c>
      <c r="J32" s="50">
        <f t="shared" si="17"/>
        <v>496034.08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316428.57</v>
      </c>
      <c r="E33" s="22">
        <f>X7+X8</f>
        <v>3201452</v>
      </c>
      <c r="F33" s="22">
        <f t="shared" si="13"/>
        <v>2885023.43</v>
      </c>
      <c r="G33" s="22">
        <f>X15+X16</f>
        <v>3425074</v>
      </c>
      <c r="H33" s="22">
        <f t="shared" si="15"/>
        <v>3108645.43</v>
      </c>
      <c r="I33" s="22">
        <f>X23+X24</f>
        <v>3253626</v>
      </c>
      <c r="J33" s="50">
        <f t="shared" si="17"/>
        <v>2937197.43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293770.15000000002</v>
      </c>
      <c r="E34" s="22">
        <f t="shared" si="12"/>
        <v>2692956</v>
      </c>
      <c r="F34" s="22">
        <f t="shared" si="13"/>
        <v>2399185.85</v>
      </c>
      <c r="G34" s="22">
        <f t="shared" si="14"/>
        <v>2878337</v>
      </c>
      <c r="H34" s="22">
        <f t="shared" si="15"/>
        <v>2584566.85</v>
      </c>
      <c r="I34" s="22">
        <f t="shared" si="16"/>
        <v>2734435</v>
      </c>
      <c r="J34" s="50">
        <f t="shared" si="17"/>
        <v>2440664.85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22658.42</v>
      </c>
      <c r="E35" s="22">
        <f t="shared" si="18"/>
        <v>508496</v>
      </c>
      <c r="F35" s="22">
        <f t="shared" si="18"/>
        <v>485837.58</v>
      </c>
      <c r="G35" s="22">
        <f t="shared" si="18"/>
        <v>546737</v>
      </c>
      <c r="H35" s="22">
        <f t="shared" si="18"/>
        <v>524078.58</v>
      </c>
      <c r="I35" s="22">
        <f t="shared" si="18"/>
        <v>519191</v>
      </c>
      <c r="J35" s="50">
        <f t="shared" si="18"/>
        <v>496532.58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2189.12</v>
      </c>
      <c r="E36" s="22">
        <f>X9</f>
        <v>382893.4</v>
      </c>
      <c r="F36" s="22">
        <f>E36-D36</f>
        <v>380704.28</v>
      </c>
      <c r="G36" s="22">
        <f>X17</f>
        <v>412780.5</v>
      </c>
      <c r="H36" s="22">
        <f>G36-D36</f>
        <v>410591.38</v>
      </c>
      <c r="I36" s="22">
        <f>X25</f>
        <v>391697.4</v>
      </c>
      <c r="J36" s="50">
        <f>I36-D36</f>
        <v>389508.28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737579.04</v>
      </c>
      <c r="E37" s="22">
        <f>X10</f>
        <v>7436694</v>
      </c>
      <c r="F37" s="22">
        <f>E37-D37</f>
        <v>6699114.96</v>
      </c>
      <c r="G37" s="22">
        <f>X18</f>
        <v>7973289</v>
      </c>
      <c r="H37" s="22">
        <f>G37-D37</f>
        <v>7235709.96</v>
      </c>
      <c r="I37" s="22">
        <f>X26</f>
        <v>7571713</v>
      </c>
      <c r="J37" s="50">
        <f>I37-D37</f>
        <v>6834133.96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6766266.96</v>
      </c>
      <c r="G38" s="18"/>
      <c r="H38" s="22">
        <f>H37+C48+C49</f>
        <v>7302861.96</v>
      </c>
      <c r="I38" s="18"/>
      <c r="J38" s="50">
        <f>J37+C48+C49</f>
        <v>6901285.96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247028</v>
      </c>
      <c r="C43" s="21">
        <v>25678</v>
      </c>
      <c r="D43" s="25">
        <v>189234</v>
      </c>
      <c r="E43" s="21">
        <v>24567</v>
      </c>
      <c r="F43" s="21">
        <v>6789</v>
      </c>
      <c r="G43" s="21">
        <v>260</v>
      </c>
      <c r="H43" s="21">
        <v>245</v>
      </c>
      <c r="I43" s="52">
        <v>255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266310</v>
      </c>
      <c r="C44" s="21">
        <v>24890</v>
      </c>
      <c r="D44" s="25">
        <v>210345</v>
      </c>
      <c r="E44" s="21">
        <v>23789</v>
      </c>
      <c r="F44" s="21">
        <v>6543</v>
      </c>
      <c r="G44" s="21">
        <v>255</v>
      </c>
      <c r="H44" s="21">
        <v>238</v>
      </c>
      <c r="I44" s="52">
        <v>250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252708</v>
      </c>
      <c r="C45" s="28">
        <v>24012</v>
      </c>
      <c r="D45" s="29">
        <v>198765</v>
      </c>
      <c r="E45" s="28">
        <v>22901</v>
      </c>
      <c r="F45" s="28">
        <v>6305</v>
      </c>
      <c r="G45" s="28">
        <v>250</v>
      </c>
      <c r="H45" s="28">
        <v>230</v>
      </c>
      <c r="I45" s="53">
        <v>245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38724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28428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55"/>
  <sheetViews>
    <sheetView zoomScale="60" zoomScaleNormal="60" workbookViewId="0">
      <selection activeCell="H1" sqref="H1:I1"/>
    </sheetView>
  </sheetViews>
  <sheetFormatPr baseColWidth="10" defaultColWidth="9" defaultRowHeight="14"/>
  <cols>
    <col min="1" max="1" width="22.1640625" customWidth="1"/>
    <col min="2" max="2" width="15.83203125" customWidth="1"/>
    <col min="3" max="3" width="13.6640625" customWidth="1"/>
    <col min="4" max="5" width="11.5" customWidth="1"/>
    <col min="6" max="20" width="13.6640625" customWidth="1"/>
    <col min="21" max="21" width="13.6640625" style="3" customWidth="1"/>
    <col min="22" max="24" width="13.6640625" customWidth="1"/>
  </cols>
  <sheetData>
    <row r="1" spans="1:26" s="1" customFormat="1" ht="23">
      <c r="A1" s="4" t="s">
        <v>0</v>
      </c>
      <c r="B1" s="5" t="s">
        <v>130</v>
      </c>
      <c r="C1" s="6"/>
      <c r="D1" s="6" t="s">
        <v>2</v>
      </c>
      <c r="E1" s="37" t="s">
        <v>131</v>
      </c>
      <c r="F1" s="6"/>
      <c r="G1" s="6"/>
      <c r="H1" s="6" t="s">
        <v>132</v>
      </c>
      <c r="I1" s="6" t="s">
        <v>72</v>
      </c>
      <c r="J1" s="6"/>
      <c r="K1" s="6"/>
      <c r="L1" s="6"/>
      <c r="M1" s="6"/>
      <c r="N1" s="6"/>
      <c r="O1" s="117" t="s">
        <v>4</v>
      </c>
      <c r="P1" s="117"/>
      <c r="Q1" s="117"/>
      <c r="R1" s="117"/>
      <c r="S1" s="117"/>
      <c r="T1" s="117"/>
      <c r="U1" s="118"/>
      <c r="V1" s="117"/>
      <c r="W1" s="117"/>
      <c r="X1" s="61"/>
    </row>
    <row r="2" spans="1:26" ht="15">
      <c r="A2" s="107" t="s">
        <v>5</v>
      </c>
      <c r="B2" s="108"/>
      <c r="C2" s="94" t="s">
        <v>6</v>
      </c>
      <c r="D2" s="94" t="s">
        <v>7</v>
      </c>
      <c r="E2" s="77" t="s">
        <v>8</v>
      </c>
      <c r="F2" s="77" t="s">
        <v>9</v>
      </c>
      <c r="G2" s="77"/>
      <c r="H2" s="77"/>
      <c r="I2" s="77" t="s">
        <v>10</v>
      </c>
      <c r="J2" s="77"/>
      <c r="K2" s="77"/>
      <c r="L2" s="77" t="s">
        <v>11</v>
      </c>
      <c r="M2" s="77"/>
      <c r="N2" s="77"/>
      <c r="O2" s="77" t="s">
        <v>12</v>
      </c>
      <c r="P2" s="77"/>
      <c r="Q2" s="77"/>
      <c r="R2" s="77" t="s">
        <v>13</v>
      </c>
      <c r="S2" s="77"/>
      <c r="T2" s="77"/>
      <c r="U2" s="78" t="s">
        <v>14</v>
      </c>
      <c r="V2" s="78"/>
      <c r="W2" s="78"/>
      <c r="X2" s="62" t="s">
        <v>15</v>
      </c>
      <c r="Y2" s="36"/>
      <c r="Z2" s="36"/>
    </row>
    <row r="3" spans="1:26" ht="35">
      <c r="A3" s="109"/>
      <c r="B3" s="110"/>
      <c r="C3" s="94"/>
      <c r="D3" s="94"/>
      <c r="E3" s="77"/>
      <c r="F3" s="39" t="s">
        <v>16</v>
      </c>
      <c r="G3" s="39" t="s">
        <v>17</v>
      </c>
      <c r="H3" s="39" t="s">
        <v>18</v>
      </c>
      <c r="I3" s="7" t="s">
        <v>19</v>
      </c>
      <c r="J3" s="7" t="s">
        <v>17</v>
      </c>
      <c r="K3" s="39" t="s">
        <v>18</v>
      </c>
      <c r="L3" s="7" t="s">
        <v>20</v>
      </c>
      <c r="M3" s="7" t="s">
        <v>17</v>
      </c>
      <c r="N3" s="39" t="s">
        <v>18</v>
      </c>
      <c r="O3" s="7" t="s">
        <v>21</v>
      </c>
      <c r="P3" s="9" t="s">
        <v>17</v>
      </c>
      <c r="Q3" s="60" t="s">
        <v>18</v>
      </c>
      <c r="R3" s="7" t="s">
        <v>21</v>
      </c>
      <c r="S3" s="9" t="s">
        <v>17</v>
      </c>
      <c r="T3" s="60" t="s">
        <v>18</v>
      </c>
      <c r="U3" s="10" t="s">
        <v>22</v>
      </c>
      <c r="V3" s="9" t="s">
        <v>17</v>
      </c>
      <c r="W3" s="60" t="s">
        <v>18</v>
      </c>
      <c r="X3" s="49" t="s">
        <v>23</v>
      </c>
      <c r="Y3" s="36"/>
      <c r="Z3" s="36"/>
    </row>
    <row r="4" spans="1:26" ht="32">
      <c r="A4" s="111">
        <v>2024</v>
      </c>
      <c r="B4" s="112"/>
      <c r="C4" s="94">
        <v>5</v>
      </c>
      <c r="D4" s="97" t="s">
        <v>74</v>
      </c>
      <c r="E4" s="39" t="s">
        <v>25</v>
      </c>
      <c r="F4" s="40">
        <v>15.95</v>
      </c>
      <c r="G4" s="101">
        <f>B43</f>
        <v>309270</v>
      </c>
      <c r="H4" s="38">
        <f>F4*G4</f>
        <v>4932856.5</v>
      </c>
      <c r="I4" s="45">
        <v>3</v>
      </c>
      <c r="J4" s="101">
        <f>E43</f>
        <v>26789</v>
      </c>
      <c r="K4" s="38">
        <f>I4*J4</f>
        <v>80367</v>
      </c>
      <c r="L4" s="45">
        <v>3</v>
      </c>
      <c r="M4" s="101">
        <f>F43</f>
        <v>8901</v>
      </c>
      <c r="N4" s="38">
        <f>L4*M4</f>
        <v>26703</v>
      </c>
      <c r="O4" s="46">
        <v>3</v>
      </c>
      <c r="P4" s="101">
        <f>H43</f>
        <v>285</v>
      </c>
      <c r="Q4" s="38">
        <f>O4*P4</f>
        <v>855</v>
      </c>
      <c r="R4" s="46">
        <v>3</v>
      </c>
      <c r="S4" s="101">
        <f>I43</f>
        <v>310</v>
      </c>
      <c r="T4" s="38">
        <f>R4*S4</f>
        <v>930</v>
      </c>
      <c r="U4" s="46">
        <v>0</v>
      </c>
      <c r="V4" s="101">
        <f>SUM(G43:I43)</f>
        <v>915</v>
      </c>
      <c r="W4" s="38">
        <v>0</v>
      </c>
      <c r="X4" s="62">
        <f t="shared" ref="X4:X7" si="0">T4+Q4+N4+K4+H4</f>
        <v>5041711.5</v>
      </c>
      <c r="Y4" s="36"/>
      <c r="Z4" s="36"/>
    </row>
    <row r="5" spans="1:26" ht="16">
      <c r="A5" s="111"/>
      <c r="B5" s="112"/>
      <c r="C5" s="94"/>
      <c r="D5" s="98"/>
      <c r="E5" s="7" t="s">
        <v>26</v>
      </c>
      <c r="F5" s="40">
        <v>2</v>
      </c>
      <c r="G5" s="102"/>
      <c r="H5" s="38">
        <f>F5*G4</f>
        <v>618540</v>
      </c>
      <c r="I5" s="45">
        <v>2</v>
      </c>
      <c r="J5" s="102"/>
      <c r="K5" s="38">
        <f>I5*J4</f>
        <v>53578</v>
      </c>
      <c r="L5" s="45">
        <v>2</v>
      </c>
      <c r="M5" s="102"/>
      <c r="N5" s="38">
        <f>L5*M4</f>
        <v>17802</v>
      </c>
      <c r="O5" s="40">
        <v>2</v>
      </c>
      <c r="P5" s="102"/>
      <c r="Q5" s="38">
        <f>O5*P4</f>
        <v>570</v>
      </c>
      <c r="R5" s="40">
        <v>2</v>
      </c>
      <c r="S5" s="102"/>
      <c r="T5" s="38">
        <f>R5*S4</f>
        <v>620</v>
      </c>
      <c r="U5" s="40">
        <v>0</v>
      </c>
      <c r="V5" s="102"/>
      <c r="W5" s="38">
        <v>0</v>
      </c>
      <c r="X5" s="62">
        <f t="shared" si="0"/>
        <v>691110</v>
      </c>
      <c r="Y5" s="36"/>
      <c r="Z5" s="36"/>
    </row>
    <row r="6" spans="1:26" ht="32">
      <c r="A6" s="111"/>
      <c r="B6" s="112"/>
      <c r="C6" s="94"/>
      <c r="D6" s="98"/>
      <c r="E6" s="7" t="s">
        <v>27</v>
      </c>
      <c r="F6" s="40">
        <v>0</v>
      </c>
      <c r="G6" s="102"/>
      <c r="H6" s="38">
        <v>0</v>
      </c>
      <c r="I6" s="45">
        <v>0</v>
      </c>
      <c r="J6" s="102"/>
      <c r="K6" s="38">
        <v>0</v>
      </c>
      <c r="L6" s="45">
        <v>0</v>
      </c>
      <c r="M6" s="102"/>
      <c r="N6" s="38">
        <v>0</v>
      </c>
      <c r="O6" s="40">
        <v>0</v>
      </c>
      <c r="P6" s="102"/>
      <c r="Q6" s="38">
        <v>0</v>
      </c>
      <c r="R6" s="40">
        <v>0</v>
      </c>
      <c r="S6" s="102"/>
      <c r="T6" s="38">
        <v>0</v>
      </c>
      <c r="U6" s="40">
        <v>0</v>
      </c>
      <c r="V6" s="102"/>
      <c r="W6" s="38">
        <v>0</v>
      </c>
      <c r="X6" s="62">
        <f t="shared" si="0"/>
        <v>0</v>
      </c>
      <c r="Y6" s="36"/>
      <c r="Z6" s="36"/>
    </row>
    <row r="7" spans="1:26" ht="32">
      <c r="A7" s="111"/>
      <c r="B7" s="112"/>
      <c r="C7" s="94"/>
      <c r="D7" s="98"/>
      <c r="E7" s="7" t="s">
        <v>28</v>
      </c>
      <c r="F7" s="40">
        <v>10</v>
      </c>
      <c r="G7" s="102"/>
      <c r="H7" s="38">
        <f>F7*G4</f>
        <v>3092700</v>
      </c>
      <c r="I7" s="45">
        <v>5</v>
      </c>
      <c r="J7" s="102"/>
      <c r="K7" s="38">
        <f>I7*J4</f>
        <v>133945</v>
      </c>
      <c r="L7" s="45">
        <v>14</v>
      </c>
      <c r="M7" s="102"/>
      <c r="N7" s="38">
        <f>L7*M4</f>
        <v>124614</v>
      </c>
      <c r="O7" s="40">
        <v>5</v>
      </c>
      <c r="P7" s="102"/>
      <c r="Q7" s="38">
        <f>O7*P4</f>
        <v>1425</v>
      </c>
      <c r="R7" s="40">
        <v>14</v>
      </c>
      <c r="S7" s="102"/>
      <c r="T7" s="38">
        <f>R7*S4</f>
        <v>4340</v>
      </c>
      <c r="U7" s="40">
        <v>0</v>
      </c>
      <c r="V7" s="102"/>
      <c r="W7" s="38">
        <v>0</v>
      </c>
      <c r="X7" s="62">
        <f t="shared" si="0"/>
        <v>3357024</v>
      </c>
      <c r="Y7" s="36"/>
      <c r="Z7" s="36"/>
    </row>
    <row r="8" spans="1:26" ht="16">
      <c r="A8" s="111"/>
      <c r="B8" s="112"/>
      <c r="C8" s="94"/>
      <c r="D8" s="98"/>
      <c r="E8" s="7" t="s">
        <v>29</v>
      </c>
      <c r="F8" s="40">
        <v>2</v>
      </c>
      <c r="G8" s="102"/>
      <c r="H8" s="38">
        <f>F8*G4</f>
        <v>618540</v>
      </c>
      <c r="I8" s="45">
        <v>0</v>
      </c>
      <c r="J8" s="102"/>
      <c r="K8" s="38">
        <v>0</v>
      </c>
      <c r="L8" s="45">
        <v>0</v>
      </c>
      <c r="M8" s="102"/>
      <c r="N8" s="38">
        <v>0</v>
      </c>
      <c r="O8" s="40">
        <v>0</v>
      </c>
      <c r="P8" s="102"/>
      <c r="Q8" s="38">
        <v>0</v>
      </c>
      <c r="R8" s="40">
        <v>0</v>
      </c>
      <c r="S8" s="102"/>
      <c r="T8" s="38">
        <v>0</v>
      </c>
      <c r="U8" s="40">
        <v>19</v>
      </c>
      <c r="V8" s="102"/>
      <c r="W8" s="38">
        <f>U8*V4</f>
        <v>17385</v>
      </c>
      <c r="X8" s="62">
        <f>T8+Q8+N8+K8+H8+W8</f>
        <v>635925</v>
      </c>
      <c r="Y8" s="36"/>
      <c r="Z8" s="36"/>
    </row>
    <row r="9" spans="1:26" ht="32">
      <c r="A9" s="111"/>
      <c r="B9" s="112"/>
      <c r="C9" s="94"/>
      <c r="D9" s="98"/>
      <c r="E9" s="7" t="s">
        <v>30</v>
      </c>
      <c r="F9" s="40">
        <v>1.55</v>
      </c>
      <c r="G9" s="102"/>
      <c r="H9" s="38">
        <f>F9*G4</f>
        <v>479368.5</v>
      </c>
      <c r="I9" s="45">
        <v>0</v>
      </c>
      <c r="J9" s="102"/>
      <c r="K9" s="38">
        <v>0</v>
      </c>
      <c r="L9" s="45">
        <v>0</v>
      </c>
      <c r="M9" s="102"/>
      <c r="N9" s="38">
        <v>0</v>
      </c>
      <c r="O9" s="40">
        <v>0</v>
      </c>
      <c r="P9" s="102"/>
      <c r="Q9" s="38">
        <v>0</v>
      </c>
      <c r="R9" s="40">
        <v>0</v>
      </c>
      <c r="S9" s="102"/>
      <c r="T9" s="38">
        <v>0</v>
      </c>
      <c r="U9" s="40">
        <v>0</v>
      </c>
      <c r="V9" s="102"/>
      <c r="W9" s="38">
        <v>0</v>
      </c>
      <c r="X9" s="62">
        <f t="shared" ref="X9:X15" si="1">T9+Q9+N9+K9+H9</f>
        <v>479368.5</v>
      </c>
      <c r="Y9" s="36"/>
      <c r="Z9" s="36"/>
    </row>
    <row r="10" spans="1:26" s="2" customFormat="1" ht="16">
      <c r="A10" s="113"/>
      <c r="B10" s="114"/>
      <c r="C10" s="95"/>
      <c r="D10" s="99"/>
      <c r="E10" s="10" t="s">
        <v>31</v>
      </c>
      <c r="F10" s="41">
        <f>+F4+F5+F6+F9</f>
        <v>19.5</v>
      </c>
      <c r="G10" s="103"/>
      <c r="H10" s="41">
        <f t="shared" ref="H10:L10" si="2">SUM(H4:H9)</f>
        <v>9742005</v>
      </c>
      <c r="I10" s="41">
        <f t="shared" si="2"/>
        <v>10</v>
      </c>
      <c r="J10" s="103"/>
      <c r="K10" s="41">
        <f t="shared" si="2"/>
        <v>267890</v>
      </c>
      <c r="L10" s="41">
        <f t="shared" si="2"/>
        <v>19</v>
      </c>
      <c r="M10" s="103"/>
      <c r="N10" s="41">
        <f t="shared" ref="N10:R10" si="3">SUM(N4:N9)</f>
        <v>169119</v>
      </c>
      <c r="O10" s="41">
        <f t="shared" si="3"/>
        <v>10</v>
      </c>
      <c r="P10" s="103"/>
      <c r="Q10" s="41">
        <f t="shared" si="3"/>
        <v>2850</v>
      </c>
      <c r="R10" s="41">
        <f t="shared" si="3"/>
        <v>19</v>
      </c>
      <c r="S10" s="103"/>
      <c r="T10" s="41">
        <f t="shared" ref="T10:W10" si="4">SUM(T4:T9)</f>
        <v>5890</v>
      </c>
      <c r="U10" s="41">
        <f t="shared" si="4"/>
        <v>19</v>
      </c>
      <c r="V10" s="103"/>
      <c r="W10" s="41">
        <f t="shared" si="4"/>
        <v>17385</v>
      </c>
      <c r="X10" s="63">
        <f>T10+Q10+N10+K10+H10+W10</f>
        <v>10205139</v>
      </c>
      <c r="Y10" s="67"/>
      <c r="Z10" s="67"/>
    </row>
    <row r="11" spans="1:26" ht="15">
      <c r="A11" s="11"/>
      <c r="B11" s="12"/>
      <c r="C11" s="12"/>
      <c r="D11" s="12"/>
      <c r="E11" s="12"/>
      <c r="F11" s="42"/>
      <c r="G11" s="14"/>
      <c r="H11" s="14"/>
      <c r="I11" s="42"/>
      <c r="J11" s="14"/>
      <c r="K11" s="14"/>
      <c r="L11" s="42"/>
      <c r="M11" s="14"/>
      <c r="N11" s="14"/>
      <c r="O11" s="42"/>
      <c r="P11" s="14"/>
      <c r="Q11" s="14"/>
      <c r="R11" s="42"/>
      <c r="S11" s="14"/>
      <c r="T11" s="14"/>
      <c r="U11" s="42"/>
      <c r="V11" s="14"/>
      <c r="W11" s="14"/>
      <c r="X11" s="64"/>
      <c r="Y11" s="36"/>
      <c r="Z11" s="36"/>
    </row>
    <row r="12" spans="1:26" ht="32">
      <c r="A12" s="111">
        <v>2030</v>
      </c>
      <c r="B12" s="112"/>
      <c r="C12" s="94">
        <v>5</v>
      </c>
      <c r="D12" s="97" t="s">
        <v>74</v>
      </c>
      <c r="E12" s="39" t="s">
        <v>25</v>
      </c>
      <c r="F12" s="40">
        <v>15.95</v>
      </c>
      <c r="G12" s="101">
        <f>B44</f>
        <v>298475</v>
      </c>
      <c r="H12" s="38">
        <f>F12*G12</f>
        <v>4760676.25</v>
      </c>
      <c r="I12" s="46">
        <v>3</v>
      </c>
      <c r="J12" s="101">
        <f>E44</f>
        <v>25901</v>
      </c>
      <c r="K12" s="38">
        <f>I12*J12</f>
        <v>77703</v>
      </c>
      <c r="L12" s="46">
        <v>3</v>
      </c>
      <c r="M12" s="101">
        <f>F44</f>
        <v>8678</v>
      </c>
      <c r="N12" s="38">
        <f>L12*M12</f>
        <v>26034</v>
      </c>
      <c r="O12" s="46">
        <v>3</v>
      </c>
      <c r="P12" s="101">
        <f>H44</f>
        <v>278</v>
      </c>
      <c r="Q12" s="38">
        <f>O12*P12</f>
        <v>834</v>
      </c>
      <c r="R12" s="46">
        <v>3</v>
      </c>
      <c r="S12" s="101">
        <f>I44</f>
        <v>305</v>
      </c>
      <c r="T12" s="38">
        <f>R12*S12</f>
        <v>915</v>
      </c>
      <c r="U12" s="46">
        <v>0</v>
      </c>
      <c r="V12" s="101">
        <f>SUM(G44:I44)</f>
        <v>898</v>
      </c>
      <c r="W12" s="38">
        <v>0</v>
      </c>
      <c r="X12" s="62">
        <f t="shared" si="1"/>
        <v>4866162.25</v>
      </c>
      <c r="Y12" s="36"/>
      <c r="Z12" s="36"/>
    </row>
    <row r="13" spans="1:26" ht="16">
      <c r="A13" s="111"/>
      <c r="B13" s="112"/>
      <c r="C13" s="94"/>
      <c r="D13" s="98"/>
      <c r="E13" s="7" t="s">
        <v>26</v>
      </c>
      <c r="F13" s="40">
        <v>2</v>
      </c>
      <c r="G13" s="102"/>
      <c r="H13" s="38">
        <f>F13*G12</f>
        <v>596950</v>
      </c>
      <c r="I13" s="40">
        <v>2</v>
      </c>
      <c r="J13" s="102"/>
      <c r="K13" s="38">
        <f>I13*J12</f>
        <v>51802</v>
      </c>
      <c r="L13" s="40">
        <v>2</v>
      </c>
      <c r="M13" s="102"/>
      <c r="N13" s="38">
        <f>L13*M12</f>
        <v>17356</v>
      </c>
      <c r="O13" s="40">
        <v>2</v>
      </c>
      <c r="P13" s="102"/>
      <c r="Q13" s="38">
        <f>O13*P12</f>
        <v>556</v>
      </c>
      <c r="R13" s="40">
        <v>2</v>
      </c>
      <c r="S13" s="102"/>
      <c r="T13" s="38">
        <f>R13*S12</f>
        <v>610</v>
      </c>
      <c r="U13" s="40">
        <v>0</v>
      </c>
      <c r="V13" s="102"/>
      <c r="W13" s="38">
        <v>0</v>
      </c>
      <c r="X13" s="62">
        <f t="shared" si="1"/>
        <v>667274</v>
      </c>
      <c r="Y13" s="36"/>
      <c r="Z13" s="36"/>
    </row>
    <row r="14" spans="1:26" ht="32">
      <c r="A14" s="111"/>
      <c r="B14" s="112"/>
      <c r="C14" s="94"/>
      <c r="D14" s="98"/>
      <c r="E14" s="7" t="s">
        <v>27</v>
      </c>
      <c r="F14" s="40">
        <v>0</v>
      </c>
      <c r="G14" s="102"/>
      <c r="H14" s="38">
        <v>0</v>
      </c>
      <c r="I14" s="40">
        <v>0</v>
      </c>
      <c r="J14" s="102"/>
      <c r="K14" s="38">
        <v>0</v>
      </c>
      <c r="L14" s="40">
        <v>0</v>
      </c>
      <c r="M14" s="102"/>
      <c r="N14" s="38">
        <v>0</v>
      </c>
      <c r="O14" s="40">
        <v>0</v>
      </c>
      <c r="P14" s="102"/>
      <c r="Q14" s="38">
        <v>0</v>
      </c>
      <c r="R14" s="40">
        <v>0</v>
      </c>
      <c r="S14" s="102"/>
      <c r="T14" s="38">
        <v>0</v>
      </c>
      <c r="U14" s="40">
        <v>0</v>
      </c>
      <c r="V14" s="102"/>
      <c r="W14" s="38">
        <v>0</v>
      </c>
      <c r="X14" s="62">
        <f t="shared" si="1"/>
        <v>0</v>
      </c>
      <c r="Y14" s="36"/>
      <c r="Z14" s="36"/>
    </row>
    <row r="15" spans="1:26" ht="32">
      <c r="A15" s="111"/>
      <c r="B15" s="112"/>
      <c r="C15" s="94"/>
      <c r="D15" s="98"/>
      <c r="E15" s="7" t="s">
        <v>28</v>
      </c>
      <c r="F15" s="40">
        <v>10</v>
      </c>
      <c r="G15" s="102"/>
      <c r="H15" s="38">
        <f>F15*G12</f>
        <v>2984750</v>
      </c>
      <c r="I15" s="40">
        <v>5</v>
      </c>
      <c r="J15" s="102"/>
      <c r="K15" s="38">
        <f>I15*J12</f>
        <v>129505</v>
      </c>
      <c r="L15" s="40">
        <v>14</v>
      </c>
      <c r="M15" s="102"/>
      <c r="N15" s="38">
        <f>L15*M12</f>
        <v>121492</v>
      </c>
      <c r="O15" s="40">
        <v>5</v>
      </c>
      <c r="P15" s="102"/>
      <c r="Q15" s="38">
        <f>O15*P12</f>
        <v>1390</v>
      </c>
      <c r="R15" s="40">
        <v>14</v>
      </c>
      <c r="S15" s="102"/>
      <c r="T15" s="38">
        <f>R15*S12</f>
        <v>4270</v>
      </c>
      <c r="U15" s="40">
        <v>0</v>
      </c>
      <c r="V15" s="102"/>
      <c r="W15" s="38">
        <v>0</v>
      </c>
      <c r="X15" s="62">
        <f t="shared" si="1"/>
        <v>3241407</v>
      </c>
      <c r="Y15" s="36"/>
      <c r="Z15" s="36"/>
    </row>
    <row r="16" spans="1:26" ht="16">
      <c r="A16" s="111"/>
      <c r="B16" s="112"/>
      <c r="C16" s="94"/>
      <c r="D16" s="98"/>
      <c r="E16" s="7" t="s">
        <v>29</v>
      </c>
      <c r="F16" s="40">
        <v>2</v>
      </c>
      <c r="G16" s="102"/>
      <c r="H16" s="38">
        <f>F16*G12</f>
        <v>596950</v>
      </c>
      <c r="I16" s="40">
        <v>0</v>
      </c>
      <c r="J16" s="102"/>
      <c r="K16" s="38">
        <v>0</v>
      </c>
      <c r="L16" s="40">
        <v>0</v>
      </c>
      <c r="M16" s="102"/>
      <c r="N16" s="38">
        <v>0</v>
      </c>
      <c r="O16" s="40">
        <v>0</v>
      </c>
      <c r="P16" s="102"/>
      <c r="Q16" s="38">
        <v>0</v>
      </c>
      <c r="R16" s="40">
        <v>0</v>
      </c>
      <c r="S16" s="102"/>
      <c r="T16" s="38">
        <v>0</v>
      </c>
      <c r="U16" s="40">
        <v>19</v>
      </c>
      <c r="V16" s="102"/>
      <c r="W16" s="38">
        <f>U16*V12</f>
        <v>17062</v>
      </c>
      <c r="X16" s="62">
        <f>T16+Q16+N16+K16+H16+W16</f>
        <v>614012</v>
      </c>
      <c r="Y16" s="36"/>
      <c r="Z16" s="36"/>
    </row>
    <row r="17" spans="1:26" ht="32">
      <c r="A17" s="111"/>
      <c r="B17" s="112"/>
      <c r="C17" s="94"/>
      <c r="D17" s="98"/>
      <c r="E17" s="7" t="s">
        <v>30</v>
      </c>
      <c r="F17" s="40">
        <v>1.55</v>
      </c>
      <c r="G17" s="102"/>
      <c r="H17" s="38">
        <f>F17*G12</f>
        <v>462636.25</v>
      </c>
      <c r="I17" s="40">
        <v>0</v>
      </c>
      <c r="J17" s="102"/>
      <c r="K17" s="38">
        <v>0</v>
      </c>
      <c r="L17" s="40">
        <v>0</v>
      </c>
      <c r="M17" s="102"/>
      <c r="N17" s="38">
        <v>0</v>
      </c>
      <c r="O17" s="40">
        <v>0</v>
      </c>
      <c r="P17" s="102"/>
      <c r="Q17" s="38">
        <v>0</v>
      </c>
      <c r="R17" s="40">
        <v>0</v>
      </c>
      <c r="S17" s="102"/>
      <c r="T17" s="38">
        <v>0</v>
      </c>
      <c r="U17" s="40">
        <v>0</v>
      </c>
      <c r="V17" s="102"/>
      <c r="W17" s="38">
        <v>0</v>
      </c>
      <c r="X17" s="62">
        <f t="shared" ref="X17:X23" si="5">T17+Q17+N17+K17+H17</f>
        <v>462636.25</v>
      </c>
      <c r="Y17" s="36"/>
      <c r="Z17" s="36"/>
    </row>
    <row r="18" spans="1:26" s="2" customFormat="1" ht="16">
      <c r="A18" s="113"/>
      <c r="B18" s="114"/>
      <c r="C18" s="95"/>
      <c r="D18" s="99"/>
      <c r="E18" s="10" t="s">
        <v>31</v>
      </c>
      <c r="F18" s="41">
        <f>+F12+F13+F14+F17</f>
        <v>19.5</v>
      </c>
      <c r="G18" s="103"/>
      <c r="H18" s="41">
        <f t="shared" ref="H18:L18" si="6">SUM(H12:H17)</f>
        <v>9401962.5</v>
      </c>
      <c r="I18" s="41">
        <f t="shared" si="6"/>
        <v>10</v>
      </c>
      <c r="J18" s="103"/>
      <c r="K18" s="41">
        <f t="shared" si="6"/>
        <v>259010</v>
      </c>
      <c r="L18" s="41">
        <f t="shared" si="6"/>
        <v>19</v>
      </c>
      <c r="M18" s="103"/>
      <c r="N18" s="41">
        <f t="shared" ref="N18:R18" si="7">SUM(N12:N17)</f>
        <v>164882</v>
      </c>
      <c r="O18" s="41">
        <f t="shared" si="7"/>
        <v>10</v>
      </c>
      <c r="P18" s="103"/>
      <c r="Q18" s="41">
        <f t="shared" si="7"/>
        <v>2780</v>
      </c>
      <c r="R18" s="41">
        <f t="shared" si="7"/>
        <v>19</v>
      </c>
      <c r="S18" s="103"/>
      <c r="T18" s="41">
        <f t="shared" ref="T18:W18" si="8">SUM(T12:T17)</f>
        <v>5795</v>
      </c>
      <c r="U18" s="41">
        <f t="shared" si="8"/>
        <v>19</v>
      </c>
      <c r="V18" s="103"/>
      <c r="W18" s="41">
        <f t="shared" si="8"/>
        <v>17062</v>
      </c>
      <c r="X18" s="63">
        <f>T18+Q18+N18+K18+H18+W18</f>
        <v>9851491.5</v>
      </c>
      <c r="Y18" s="67"/>
      <c r="Z18" s="67"/>
    </row>
    <row r="19" spans="1:26" ht="15">
      <c r="A19" s="11"/>
      <c r="B19" s="12"/>
      <c r="C19" s="12"/>
      <c r="D19" s="12"/>
      <c r="E19" s="12"/>
      <c r="F19" s="42"/>
      <c r="G19" s="14"/>
      <c r="H19" s="14"/>
      <c r="I19" s="42"/>
      <c r="J19" s="14"/>
      <c r="K19" s="14"/>
      <c r="L19" s="42"/>
      <c r="M19" s="14"/>
      <c r="N19" s="14"/>
      <c r="O19" s="42"/>
      <c r="P19" s="14"/>
      <c r="Q19" s="14"/>
      <c r="R19" s="42"/>
      <c r="S19" s="14"/>
      <c r="T19" s="14"/>
      <c r="U19" s="42"/>
      <c r="V19" s="14"/>
      <c r="W19" s="14"/>
      <c r="X19" s="64"/>
      <c r="Y19" s="36"/>
      <c r="Z19" s="36"/>
    </row>
    <row r="20" spans="1:26" ht="32">
      <c r="A20" s="111">
        <v>2035</v>
      </c>
      <c r="B20" s="112"/>
      <c r="C20" s="94">
        <v>5</v>
      </c>
      <c r="D20" s="97" t="s">
        <v>74</v>
      </c>
      <c r="E20" s="39" t="s">
        <v>25</v>
      </c>
      <c r="F20" s="40">
        <v>15.95</v>
      </c>
      <c r="G20" s="101">
        <f>B45</f>
        <v>307780</v>
      </c>
      <c r="H20" s="38">
        <f>F20*G20</f>
        <v>4909091</v>
      </c>
      <c r="I20" s="46">
        <v>3</v>
      </c>
      <c r="J20" s="101">
        <f>E45</f>
        <v>25123</v>
      </c>
      <c r="K20" s="38">
        <f>I20*J20</f>
        <v>75369</v>
      </c>
      <c r="L20" s="46">
        <v>3</v>
      </c>
      <c r="M20" s="101">
        <f>F45</f>
        <v>8456</v>
      </c>
      <c r="N20" s="38">
        <f>L20*M20</f>
        <v>25368</v>
      </c>
      <c r="O20" s="46">
        <v>3</v>
      </c>
      <c r="P20" s="101">
        <f>H45</f>
        <v>270</v>
      </c>
      <c r="Q20" s="38">
        <f>O20*P20</f>
        <v>810</v>
      </c>
      <c r="R20" s="46">
        <v>3</v>
      </c>
      <c r="S20" s="101">
        <f>I45</f>
        <v>300</v>
      </c>
      <c r="T20" s="38">
        <f>R20*S20</f>
        <v>900</v>
      </c>
      <c r="U20" s="46">
        <v>0</v>
      </c>
      <c r="V20" s="101">
        <f>SUM((G45:I45))</f>
        <v>880</v>
      </c>
      <c r="W20" s="38">
        <v>0</v>
      </c>
      <c r="X20" s="62">
        <f t="shared" si="5"/>
        <v>5011538</v>
      </c>
      <c r="Y20" s="36"/>
      <c r="Z20" s="36"/>
    </row>
    <row r="21" spans="1:26" ht="16">
      <c r="A21" s="111"/>
      <c r="B21" s="112"/>
      <c r="C21" s="94"/>
      <c r="D21" s="98"/>
      <c r="E21" s="7" t="s">
        <v>26</v>
      </c>
      <c r="F21" s="40">
        <v>2</v>
      </c>
      <c r="G21" s="102"/>
      <c r="H21" s="38">
        <f>F21*G20</f>
        <v>615560</v>
      </c>
      <c r="I21" s="40">
        <v>2</v>
      </c>
      <c r="J21" s="102"/>
      <c r="K21" s="38">
        <f>I21*J20</f>
        <v>50246</v>
      </c>
      <c r="L21" s="40">
        <v>2</v>
      </c>
      <c r="M21" s="102"/>
      <c r="N21" s="38">
        <f>L21*M20</f>
        <v>16912</v>
      </c>
      <c r="O21" s="40">
        <v>2</v>
      </c>
      <c r="P21" s="102"/>
      <c r="Q21" s="38">
        <f>O21*P20</f>
        <v>540</v>
      </c>
      <c r="R21" s="40">
        <v>2</v>
      </c>
      <c r="S21" s="102"/>
      <c r="T21" s="38">
        <f>R21*S20</f>
        <v>600</v>
      </c>
      <c r="U21" s="40">
        <v>0</v>
      </c>
      <c r="V21" s="102"/>
      <c r="W21" s="38">
        <v>0</v>
      </c>
      <c r="X21" s="62">
        <f t="shared" si="5"/>
        <v>683858</v>
      </c>
      <c r="Y21" s="36"/>
      <c r="Z21" s="36"/>
    </row>
    <row r="22" spans="1:26" ht="32">
      <c r="A22" s="111"/>
      <c r="B22" s="112"/>
      <c r="C22" s="94"/>
      <c r="D22" s="98"/>
      <c r="E22" s="7" t="s">
        <v>27</v>
      </c>
      <c r="F22" s="40">
        <v>0</v>
      </c>
      <c r="G22" s="102"/>
      <c r="H22" s="38">
        <v>0</v>
      </c>
      <c r="I22" s="40">
        <v>0</v>
      </c>
      <c r="J22" s="102"/>
      <c r="K22" s="38">
        <v>0</v>
      </c>
      <c r="L22" s="40">
        <v>0</v>
      </c>
      <c r="M22" s="102"/>
      <c r="N22" s="38">
        <v>0</v>
      </c>
      <c r="O22" s="40">
        <v>0</v>
      </c>
      <c r="P22" s="102"/>
      <c r="Q22" s="38">
        <v>0</v>
      </c>
      <c r="R22" s="40">
        <v>0</v>
      </c>
      <c r="S22" s="102"/>
      <c r="T22" s="38">
        <v>0</v>
      </c>
      <c r="U22" s="40">
        <v>0</v>
      </c>
      <c r="V22" s="102"/>
      <c r="W22" s="38">
        <v>0</v>
      </c>
      <c r="X22" s="62">
        <f t="shared" si="5"/>
        <v>0</v>
      </c>
      <c r="Y22" s="36"/>
      <c r="Z22" s="36"/>
    </row>
    <row r="23" spans="1:26" ht="32">
      <c r="A23" s="111"/>
      <c r="B23" s="112"/>
      <c r="C23" s="94"/>
      <c r="D23" s="98"/>
      <c r="E23" s="7" t="s">
        <v>28</v>
      </c>
      <c r="F23" s="40">
        <v>10</v>
      </c>
      <c r="G23" s="102"/>
      <c r="H23" s="38">
        <f>F23*G20</f>
        <v>3077800</v>
      </c>
      <c r="I23" s="40">
        <v>5</v>
      </c>
      <c r="J23" s="102"/>
      <c r="K23" s="38">
        <f>I23*J20</f>
        <v>125615</v>
      </c>
      <c r="L23" s="40">
        <v>14</v>
      </c>
      <c r="M23" s="102"/>
      <c r="N23" s="38">
        <f>L23*M20</f>
        <v>118384</v>
      </c>
      <c r="O23" s="40">
        <v>5</v>
      </c>
      <c r="P23" s="102"/>
      <c r="Q23" s="38">
        <f>O23*P20</f>
        <v>1350</v>
      </c>
      <c r="R23" s="40">
        <v>14</v>
      </c>
      <c r="S23" s="102"/>
      <c r="T23" s="38">
        <f>R23*S20</f>
        <v>4200</v>
      </c>
      <c r="U23" s="40">
        <v>0</v>
      </c>
      <c r="V23" s="102"/>
      <c r="W23" s="38">
        <v>0</v>
      </c>
      <c r="X23" s="62">
        <f t="shared" si="5"/>
        <v>3327349</v>
      </c>
      <c r="Y23" s="36"/>
      <c r="Z23" s="36"/>
    </row>
    <row r="24" spans="1:26" ht="16">
      <c r="A24" s="111"/>
      <c r="B24" s="112"/>
      <c r="C24" s="94"/>
      <c r="D24" s="98"/>
      <c r="E24" s="7" t="s">
        <v>29</v>
      </c>
      <c r="F24" s="40">
        <v>2</v>
      </c>
      <c r="G24" s="102"/>
      <c r="H24" s="38">
        <f>F24*G20</f>
        <v>615560</v>
      </c>
      <c r="I24" s="40">
        <v>0</v>
      </c>
      <c r="J24" s="102"/>
      <c r="K24" s="38">
        <v>0</v>
      </c>
      <c r="L24" s="40">
        <v>0</v>
      </c>
      <c r="M24" s="102"/>
      <c r="N24" s="38">
        <v>0</v>
      </c>
      <c r="O24" s="40">
        <v>0</v>
      </c>
      <c r="P24" s="102"/>
      <c r="Q24" s="38">
        <v>0</v>
      </c>
      <c r="R24" s="40">
        <v>0</v>
      </c>
      <c r="S24" s="102"/>
      <c r="T24" s="38">
        <v>0</v>
      </c>
      <c r="U24" s="40">
        <v>19</v>
      </c>
      <c r="V24" s="102"/>
      <c r="W24" s="38">
        <f>U24*V20</f>
        <v>16720</v>
      </c>
      <c r="X24" s="62">
        <f>T24+Q24+N24+K24+H24+W24</f>
        <v>632280</v>
      </c>
      <c r="Y24" s="36"/>
      <c r="Z24" s="36"/>
    </row>
    <row r="25" spans="1:26" ht="32">
      <c r="A25" s="111"/>
      <c r="B25" s="112"/>
      <c r="C25" s="94"/>
      <c r="D25" s="98"/>
      <c r="E25" s="7" t="s">
        <v>30</v>
      </c>
      <c r="F25" s="40">
        <v>1.55</v>
      </c>
      <c r="G25" s="102"/>
      <c r="H25" s="38">
        <f>F25*G20</f>
        <v>477059</v>
      </c>
      <c r="I25" s="40">
        <v>0</v>
      </c>
      <c r="J25" s="102"/>
      <c r="K25" s="38">
        <v>0</v>
      </c>
      <c r="L25" s="40">
        <v>0</v>
      </c>
      <c r="M25" s="102"/>
      <c r="N25" s="38">
        <v>0</v>
      </c>
      <c r="O25" s="40">
        <v>0</v>
      </c>
      <c r="P25" s="102"/>
      <c r="Q25" s="38">
        <v>0</v>
      </c>
      <c r="R25" s="40">
        <v>0</v>
      </c>
      <c r="S25" s="102"/>
      <c r="T25" s="38">
        <v>0</v>
      </c>
      <c r="U25" s="40">
        <v>0</v>
      </c>
      <c r="V25" s="102"/>
      <c r="W25" s="38">
        <v>0</v>
      </c>
      <c r="X25" s="62">
        <f>T25+Q25+N25+K25+H25</f>
        <v>477059</v>
      </c>
      <c r="Y25" s="36"/>
      <c r="Z25" s="36"/>
    </row>
    <row r="26" spans="1:26" s="2" customFormat="1" ht="16">
      <c r="A26" s="115"/>
      <c r="B26" s="116"/>
      <c r="C26" s="96"/>
      <c r="D26" s="99"/>
      <c r="E26" s="13" t="s">
        <v>31</v>
      </c>
      <c r="F26" s="43">
        <f>F20+F21+F22+F25</f>
        <v>19.5</v>
      </c>
      <c r="G26" s="104"/>
      <c r="H26" s="43">
        <f t="shared" ref="H26:L26" si="9">SUM(H20:H25)</f>
        <v>9695070</v>
      </c>
      <c r="I26" s="43">
        <f t="shared" si="9"/>
        <v>10</v>
      </c>
      <c r="J26" s="104"/>
      <c r="K26" s="43">
        <f t="shared" si="9"/>
        <v>251230</v>
      </c>
      <c r="L26" s="43">
        <f t="shared" si="9"/>
        <v>19</v>
      </c>
      <c r="M26" s="104"/>
      <c r="N26" s="43">
        <f t="shared" ref="N26:R26" si="10">SUM(N20:N25)</f>
        <v>160664</v>
      </c>
      <c r="O26" s="43">
        <f t="shared" si="10"/>
        <v>10</v>
      </c>
      <c r="P26" s="104"/>
      <c r="Q26" s="43">
        <f t="shared" si="10"/>
        <v>2700</v>
      </c>
      <c r="R26" s="43">
        <f t="shared" si="10"/>
        <v>19</v>
      </c>
      <c r="S26" s="104"/>
      <c r="T26" s="43">
        <f t="shared" ref="T26:W26" si="11">SUM(T20:T25)</f>
        <v>5700</v>
      </c>
      <c r="U26" s="43">
        <f t="shared" si="11"/>
        <v>19</v>
      </c>
      <c r="V26" s="104"/>
      <c r="W26" s="43">
        <f t="shared" si="11"/>
        <v>16720</v>
      </c>
      <c r="X26" s="65">
        <f>T26+Q26+N26+K26+H26+W26</f>
        <v>10132084</v>
      </c>
      <c r="Y26" s="67"/>
      <c r="Z26" s="67"/>
    </row>
    <row r="27" spans="1:26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42"/>
      <c r="V27" s="14"/>
      <c r="W27" s="14"/>
      <c r="X27" s="14"/>
      <c r="Y27" s="36"/>
      <c r="Z27" s="36"/>
    </row>
    <row r="28" spans="1:26" ht="15">
      <c r="A28" s="79" t="s">
        <v>32</v>
      </c>
      <c r="B28" s="80"/>
      <c r="C28" s="80"/>
      <c r="D28" s="80"/>
      <c r="E28" s="80"/>
      <c r="F28" s="80"/>
      <c r="G28" s="80"/>
      <c r="H28" s="80"/>
      <c r="I28" s="80"/>
      <c r="J28" s="81"/>
      <c r="K28" s="36"/>
      <c r="L28" s="14"/>
      <c r="M28" s="14"/>
      <c r="N28" s="14"/>
      <c r="O28" s="14"/>
      <c r="P28" s="14"/>
      <c r="Q28" s="14"/>
      <c r="R28" s="14"/>
      <c r="S28" s="14"/>
      <c r="T28" s="14"/>
      <c r="U28" s="42"/>
      <c r="V28" s="14"/>
      <c r="W28" s="14"/>
      <c r="X28" s="14"/>
      <c r="Y28" s="36"/>
      <c r="Z28" s="36"/>
    </row>
    <row r="29" spans="1:26" ht="83">
      <c r="A29" s="91" t="s">
        <v>6</v>
      </c>
      <c r="B29" s="94" t="s">
        <v>33</v>
      </c>
      <c r="C29" s="82"/>
      <c r="D29" s="7" t="s">
        <v>34</v>
      </c>
      <c r="E29" s="7" t="s">
        <v>35</v>
      </c>
      <c r="F29" s="7" t="s">
        <v>36</v>
      </c>
      <c r="G29" s="18" t="s">
        <v>37</v>
      </c>
      <c r="H29" s="18" t="s">
        <v>38</v>
      </c>
      <c r="I29" s="18" t="s">
        <v>39</v>
      </c>
      <c r="J29" s="47" t="s">
        <v>40</v>
      </c>
      <c r="K29" s="48"/>
      <c r="L29" s="14"/>
      <c r="M29" s="14"/>
      <c r="N29" s="14"/>
      <c r="O29" s="14"/>
      <c r="P29" s="14"/>
      <c r="Q29" s="14"/>
      <c r="R29" s="14"/>
      <c r="S29" s="14"/>
      <c r="T29" s="14"/>
      <c r="U29" s="42"/>
      <c r="V29" s="14"/>
      <c r="W29" s="14"/>
      <c r="X29" s="14"/>
      <c r="Y29" s="36"/>
      <c r="Z29" s="36"/>
    </row>
    <row r="30" spans="1:26" ht="16">
      <c r="A30" s="83"/>
      <c r="B30" s="82"/>
      <c r="C30" s="82"/>
      <c r="D30" s="20">
        <v>-1</v>
      </c>
      <c r="E30" s="20">
        <v>-2</v>
      </c>
      <c r="F30" s="44" t="s">
        <v>41</v>
      </c>
      <c r="G30" s="20">
        <v>-3</v>
      </c>
      <c r="H30" s="44" t="s">
        <v>42</v>
      </c>
      <c r="I30" s="20">
        <v>-4</v>
      </c>
      <c r="J30" s="49" t="s">
        <v>43</v>
      </c>
      <c r="K30" s="105"/>
      <c r="L30" s="14"/>
      <c r="M30" s="14"/>
      <c r="N30" s="14"/>
      <c r="O30" s="14"/>
      <c r="P30" s="14"/>
      <c r="Q30" s="14"/>
      <c r="R30" s="14"/>
      <c r="S30" s="14"/>
      <c r="T30" s="14"/>
      <c r="U30" s="42"/>
      <c r="V30" s="14"/>
      <c r="W30" s="14"/>
      <c r="X30" s="14"/>
      <c r="Y30" s="36"/>
      <c r="Z30" s="36"/>
    </row>
    <row r="31" spans="1:26" ht="15">
      <c r="A31" s="19">
        <v>1</v>
      </c>
      <c r="B31" s="82" t="s">
        <v>25</v>
      </c>
      <c r="C31" s="82"/>
      <c r="D31" s="21">
        <v>391024.85</v>
      </c>
      <c r="E31" s="22">
        <f t="shared" ref="E31:E34" si="12">X4</f>
        <v>5041711.5</v>
      </c>
      <c r="F31" s="22">
        <f t="shared" ref="F31:F34" si="13">E31-D31</f>
        <v>4650686.6500000004</v>
      </c>
      <c r="G31" s="22">
        <f t="shared" ref="G31:G34" si="14">X12</f>
        <v>4866162.25</v>
      </c>
      <c r="H31" s="22">
        <f t="shared" ref="H31:H34" si="15">G31-D31</f>
        <v>4475137.4000000004</v>
      </c>
      <c r="I31" s="22">
        <f t="shared" ref="I31:I34" si="16">X20</f>
        <v>5011538</v>
      </c>
      <c r="J31" s="50">
        <f t="shared" ref="J31:J34" si="17">I31-D31</f>
        <v>4620513.1500000004</v>
      </c>
      <c r="K31" s="106"/>
      <c r="L31" s="14"/>
      <c r="M31" s="14"/>
      <c r="N31" s="14"/>
      <c r="O31" s="14"/>
      <c r="P31" s="14"/>
      <c r="Q31" s="14"/>
      <c r="R31" s="14"/>
      <c r="S31" s="14"/>
      <c r="T31" s="14"/>
      <c r="U31" s="42"/>
      <c r="V31" s="14"/>
      <c r="W31" s="14"/>
      <c r="X31" s="14"/>
      <c r="Y31" s="36"/>
      <c r="Z31" s="36"/>
    </row>
    <row r="32" spans="1:26" ht="15">
      <c r="A32" s="19">
        <v>2</v>
      </c>
      <c r="B32" s="82" t="s">
        <v>26</v>
      </c>
      <c r="C32" s="82"/>
      <c r="D32" s="21">
        <v>78943.210000000006</v>
      </c>
      <c r="E32" s="22">
        <f t="shared" si="12"/>
        <v>691110</v>
      </c>
      <c r="F32" s="22">
        <f t="shared" si="13"/>
        <v>612166.79</v>
      </c>
      <c r="G32" s="22">
        <f t="shared" si="14"/>
        <v>667274</v>
      </c>
      <c r="H32" s="22">
        <f t="shared" si="15"/>
        <v>588330.79</v>
      </c>
      <c r="I32" s="22">
        <f t="shared" si="16"/>
        <v>683858</v>
      </c>
      <c r="J32" s="50">
        <f t="shared" si="17"/>
        <v>604914.79</v>
      </c>
      <c r="K32" s="12"/>
      <c r="L32" s="14"/>
      <c r="M32" s="14"/>
      <c r="N32" s="14"/>
      <c r="O32" s="14"/>
      <c r="P32" s="14"/>
      <c r="Q32" s="14"/>
      <c r="R32" s="14"/>
      <c r="S32" s="14"/>
      <c r="T32" s="14"/>
      <c r="U32" s="42"/>
      <c r="V32" s="14"/>
      <c r="W32" s="14"/>
      <c r="X32" s="14"/>
      <c r="Y32" s="36"/>
      <c r="Z32" s="36"/>
    </row>
    <row r="33" spans="1:26" ht="15">
      <c r="A33" s="83">
        <v>3</v>
      </c>
      <c r="B33" s="82" t="s">
        <v>27</v>
      </c>
      <c r="C33" s="82"/>
      <c r="D33" s="21">
        <v>345678.9</v>
      </c>
      <c r="E33" s="22">
        <f>X7+X8</f>
        <v>3992949</v>
      </c>
      <c r="F33" s="22">
        <f t="shared" si="13"/>
        <v>3647270.1</v>
      </c>
      <c r="G33" s="22">
        <f>X15+X16</f>
        <v>3855419</v>
      </c>
      <c r="H33" s="22">
        <f t="shared" si="15"/>
        <v>3509740.1</v>
      </c>
      <c r="I33" s="22">
        <f>X23+X24</f>
        <v>3959629</v>
      </c>
      <c r="J33" s="50">
        <f t="shared" si="17"/>
        <v>3613950.1</v>
      </c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42"/>
      <c r="V33" s="14"/>
      <c r="W33" s="14"/>
      <c r="X33" s="14"/>
      <c r="Y33" s="36"/>
      <c r="Z33" s="36"/>
    </row>
    <row r="34" spans="1:26" ht="15">
      <c r="A34" s="83"/>
      <c r="B34" s="82" t="s">
        <v>28</v>
      </c>
      <c r="C34" s="82"/>
      <c r="D34" s="21">
        <v>321274.96999999997</v>
      </c>
      <c r="E34" s="22">
        <f t="shared" si="12"/>
        <v>3357024</v>
      </c>
      <c r="F34" s="22">
        <f t="shared" si="13"/>
        <v>3035749.03</v>
      </c>
      <c r="G34" s="22">
        <f t="shared" si="14"/>
        <v>3241407</v>
      </c>
      <c r="H34" s="22">
        <f t="shared" si="15"/>
        <v>2920132.03</v>
      </c>
      <c r="I34" s="22">
        <f t="shared" si="16"/>
        <v>3327349</v>
      </c>
      <c r="J34" s="50">
        <f t="shared" si="17"/>
        <v>3006074.03</v>
      </c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42"/>
      <c r="V34" s="14"/>
      <c r="W34" s="14"/>
      <c r="X34" s="14"/>
      <c r="Y34" s="36"/>
      <c r="Z34" s="36"/>
    </row>
    <row r="35" spans="1:26" ht="15">
      <c r="A35" s="83"/>
      <c r="B35" s="82" t="s">
        <v>29</v>
      </c>
      <c r="C35" s="82"/>
      <c r="D35" s="22">
        <f t="shared" ref="D35:J35" si="18">D33-D34</f>
        <v>24403.930000000099</v>
      </c>
      <c r="E35" s="22">
        <f t="shared" si="18"/>
        <v>635925</v>
      </c>
      <c r="F35" s="22">
        <f t="shared" si="18"/>
        <v>611521.06999999995</v>
      </c>
      <c r="G35" s="22">
        <f t="shared" si="18"/>
        <v>614012</v>
      </c>
      <c r="H35" s="22">
        <f t="shared" si="18"/>
        <v>589608.06999999995</v>
      </c>
      <c r="I35" s="22">
        <f t="shared" si="18"/>
        <v>632280</v>
      </c>
      <c r="J35" s="50">
        <f t="shared" si="18"/>
        <v>607876.06999999995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42"/>
      <c r="V35" s="14"/>
      <c r="W35" s="14"/>
      <c r="X35" s="14"/>
      <c r="Y35" s="36"/>
      <c r="Z35" s="36"/>
    </row>
    <row r="36" spans="1:26" ht="15">
      <c r="A36" s="19">
        <v>4</v>
      </c>
      <c r="B36" s="82" t="s">
        <v>30</v>
      </c>
      <c r="C36" s="82"/>
      <c r="D36" s="21">
        <v>38535.21</v>
      </c>
      <c r="E36" s="22">
        <f>X9</f>
        <v>479368.5</v>
      </c>
      <c r="F36" s="22">
        <f>E36-D36</f>
        <v>440833.29</v>
      </c>
      <c r="G36" s="22">
        <f>X17</f>
        <v>462636.25</v>
      </c>
      <c r="H36" s="22">
        <f>G36-D36</f>
        <v>424101.04</v>
      </c>
      <c r="I36" s="22">
        <f>X25</f>
        <v>477059</v>
      </c>
      <c r="J36" s="50">
        <f>I36-D36</f>
        <v>438523.79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42"/>
      <c r="V36" s="14"/>
      <c r="W36" s="14"/>
      <c r="X36" s="14"/>
      <c r="Y36" s="36"/>
      <c r="Z36" s="36"/>
    </row>
    <row r="37" spans="1:26" ht="15">
      <c r="A37" s="83" t="s">
        <v>31</v>
      </c>
      <c r="B37" s="82"/>
      <c r="C37" s="82"/>
      <c r="D37" s="22">
        <f>SUM(D31:D33,D36)</f>
        <v>854182.17</v>
      </c>
      <c r="E37" s="22">
        <f>X10</f>
        <v>10205139</v>
      </c>
      <c r="F37" s="22">
        <f>E37-D37</f>
        <v>9350956.8300000001</v>
      </c>
      <c r="G37" s="22">
        <f>X18</f>
        <v>9851491.5</v>
      </c>
      <c r="H37" s="22">
        <f>G37-D37</f>
        <v>8997309.3300000001</v>
      </c>
      <c r="I37" s="22">
        <f>X26</f>
        <v>10132084</v>
      </c>
      <c r="J37" s="50">
        <f>I37-D37</f>
        <v>9277901.8300000001</v>
      </c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42"/>
      <c r="V37" s="14"/>
      <c r="W37" s="14"/>
      <c r="X37" s="14"/>
      <c r="Y37" s="36"/>
      <c r="Z37" s="36"/>
    </row>
    <row r="38" spans="1:26" ht="15">
      <c r="A38" s="83" t="s">
        <v>44</v>
      </c>
      <c r="B38" s="82"/>
      <c r="C38" s="82"/>
      <c r="D38" s="23"/>
      <c r="E38" s="23"/>
      <c r="F38" s="22">
        <f>F37+C48+C49</f>
        <v>9402125.8300000001</v>
      </c>
      <c r="G38" s="18"/>
      <c r="H38" s="22">
        <f>H37+C48+C49</f>
        <v>9048478.3300000001</v>
      </c>
      <c r="I38" s="18"/>
      <c r="J38" s="50">
        <f>J37+C48+C49</f>
        <v>9329070.8300000001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42"/>
      <c r="V38" s="14"/>
      <c r="W38" s="14"/>
      <c r="X38" s="14"/>
      <c r="Y38" s="36"/>
      <c r="Z38" s="36"/>
    </row>
    <row r="39" spans="1:26" ht="15">
      <c r="A39" s="84" t="s">
        <v>45</v>
      </c>
      <c r="B39" s="85"/>
      <c r="C39" s="85"/>
      <c r="D39" s="85"/>
      <c r="E39" s="85"/>
      <c r="F39" s="85"/>
      <c r="G39" s="85"/>
      <c r="H39" s="85"/>
      <c r="I39" s="85"/>
      <c r="J39" s="86"/>
      <c r="K39" s="51"/>
      <c r="L39" s="14"/>
      <c r="M39" s="14"/>
      <c r="N39" s="14"/>
      <c r="O39" s="14"/>
      <c r="P39" s="14"/>
      <c r="Q39" s="14"/>
      <c r="R39" s="14"/>
      <c r="S39" s="14"/>
      <c r="T39" s="14"/>
      <c r="U39" s="42"/>
      <c r="V39" s="14"/>
      <c r="W39" s="14"/>
      <c r="X39" s="14"/>
      <c r="Y39" s="36"/>
      <c r="Z39" s="36"/>
    </row>
    <row r="40" spans="1:26" ht="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48"/>
      <c r="L40" s="14"/>
      <c r="M40" s="14"/>
      <c r="N40" s="14"/>
      <c r="O40" s="14"/>
      <c r="P40" s="14"/>
      <c r="Q40" s="14"/>
      <c r="R40" s="14"/>
      <c r="S40" s="14"/>
      <c r="T40" s="14"/>
      <c r="U40" s="42"/>
      <c r="V40" s="14"/>
      <c r="W40" s="14"/>
      <c r="X40" s="14"/>
      <c r="Y40" s="36"/>
      <c r="Z40" s="36"/>
    </row>
    <row r="41" spans="1:26" ht="15">
      <c r="A41" s="92"/>
      <c r="B41" s="80" t="s">
        <v>46</v>
      </c>
      <c r="C41" s="80"/>
      <c r="D41" s="80"/>
      <c r="E41" s="80"/>
      <c r="F41" s="80"/>
      <c r="G41" s="80"/>
      <c r="H41" s="80"/>
      <c r="I41" s="8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42"/>
      <c r="V41" s="14"/>
      <c r="W41" s="14"/>
      <c r="X41" s="14"/>
      <c r="Y41" s="36"/>
      <c r="Z41" s="36"/>
    </row>
    <row r="42" spans="1:26" ht="32">
      <c r="A42" s="93"/>
      <c r="B42" s="18" t="s">
        <v>47</v>
      </c>
      <c r="C42" s="7" t="s">
        <v>48</v>
      </c>
      <c r="D42" s="24" t="s">
        <v>49</v>
      </c>
      <c r="E42" s="7" t="s">
        <v>50</v>
      </c>
      <c r="F42" s="7" t="s">
        <v>51</v>
      </c>
      <c r="G42" s="7" t="s">
        <v>52</v>
      </c>
      <c r="H42" s="7" t="s">
        <v>53</v>
      </c>
      <c r="I42" s="49" t="s">
        <v>54</v>
      </c>
      <c r="J42" s="14"/>
      <c r="K42" s="14"/>
      <c r="L42" s="14"/>
      <c r="M42" s="54" t="s">
        <v>55</v>
      </c>
      <c r="N42" s="55"/>
      <c r="O42" s="56"/>
      <c r="P42" s="14"/>
      <c r="Q42" s="14"/>
      <c r="R42" s="14"/>
      <c r="S42" s="14"/>
      <c r="T42" s="14"/>
      <c r="U42" s="42"/>
      <c r="V42" s="14"/>
      <c r="W42" s="14"/>
      <c r="X42" s="14"/>
      <c r="Y42" s="36"/>
      <c r="Z42" s="36"/>
    </row>
    <row r="43" spans="1:26" ht="38" customHeight="1">
      <c r="A43" s="17" t="s">
        <v>56</v>
      </c>
      <c r="B43" s="18">
        <f t="shared" ref="B43:B45" si="19">SUM(C43:I43)</f>
        <v>309270</v>
      </c>
      <c r="C43" s="21">
        <v>26987</v>
      </c>
      <c r="D43" s="25">
        <v>245678</v>
      </c>
      <c r="E43" s="21">
        <v>26789</v>
      </c>
      <c r="F43" s="21">
        <v>8901</v>
      </c>
      <c r="G43" s="21">
        <v>320</v>
      </c>
      <c r="H43" s="21">
        <v>285</v>
      </c>
      <c r="I43" s="52">
        <v>310</v>
      </c>
      <c r="J43" s="14"/>
      <c r="K43" s="14"/>
      <c r="L43" s="14"/>
      <c r="M43" s="57"/>
      <c r="N43" s="87" t="s">
        <v>57</v>
      </c>
      <c r="O43" s="88"/>
      <c r="P43" s="14"/>
      <c r="Q43" s="14"/>
      <c r="R43" s="14"/>
      <c r="S43" s="14"/>
      <c r="T43" s="14"/>
      <c r="U43" s="42"/>
      <c r="V43" s="14"/>
      <c r="W43" s="14"/>
      <c r="X43" s="14"/>
      <c r="Y43" s="36"/>
      <c r="Z43" s="36"/>
    </row>
    <row r="44" spans="1:26" ht="80">
      <c r="A44" s="17" t="s">
        <v>58</v>
      </c>
      <c r="B44" s="18">
        <f t="shared" si="19"/>
        <v>298475</v>
      </c>
      <c r="C44" s="21">
        <v>26209</v>
      </c>
      <c r="D44" s="25">
        <v>236789</v>
      </c>
      <c r="E44" s="21">
        <v>25901</v>
      </c>
      <c r="F44" s="21">
        <v>8678</v>
      </c>
      <c r="G44" s="21">
        <v>315</v>
      </c>
      <c r="H44" s="21">
        <v>278</v>
      </c>
      <c r="I44" s="52">
        <v>305</v>
      </c>
      <c r="J44" s="14"/>
      <c r="K44" s="14"/>
      <c r="L44" s="14"/>
      <c r="M44" s="58"/>
      <c r="N44" s="87" t="s">
        <v>59</v>
      </c>
      <c r="O44" s="88"/>
      <c r="P44" s="14"/>
      <c r="Q44" s="14"/>
      <c r="R44" s="14"/>
      <c r="S44" s="14"/>
      <c r="T44" s="14"/>
      <c r="U44" s="42"/>
      <c r="V44" s="14"/>
      <c r="W44" s="14"/>
      <c r="X44" s="14"/>
      <c r="Y44" s="36"/>
      <c r="Z44" s="36"/>
    </row>
    <row r="45" spans="1:26" ht="32">
      <c r="A45" s="26" t="s">
        <v>60</v>
      </c>
      <c r="B45" s="27">
        <f t="shared" si="19"/>
        <v>307780</v>
      </c>
      <c r="C45" s="28">
        <v>25431</v>
      </c>
      <c r="D45" s="29">
        <v>247890</v>
      </c>
      <c r="E45" s="28">
        <v>25123</v>
      </c>
      <c r="F45" s="28">
        <v>8456</v>
      </c>
      <c r="G45" s="28">
        <v>310</v>
      </c>
      <c r="H45" s="28">
        <v>270</v>
      </c>
      <c r="I45" s="53">
        <v>300</v>
      </c>
      <c r="J45" s="14"/>
      <c r="K45" s="14"/>
      <c r="L45" s="14"/>
      <c r="M45" s="59" t="s">
        <v>61</v>
      </c>
      <c r="N45" s="89" t="s">
        <v>62</v>
      </c>
      <c r="O45" s="90"/>
      <c r="P45" s="14"/>
      <c r="Q45" s="14"/>
      <c r="R45" s="14"/>
      <c r="S45" s="14"/>
      <c r="T45" s="14"/>
      <c r="U45" s="42"/>
      <c r="V45" s="14"/>
      <c r="W45" s="14"/>
      <c r="X45" s="14"/>
      <c r="Y45" s="36"/>
      <c r="Z45" s="36"/>
    </row>
    <row r="46" spans="1:26" ht="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42"/>
      <c r="V46" s="14"/>
      <c r="W46" s="14"/>
      <c r="X46" s="14"/>
      <c r="Y46" s="36"/>
      <c r="Z46" s="36"/>
    </row>
    <row r="47" spans="1:26" ht="32">
      <c r="A47" s="15" t="s">
        <v>6</v>
      </c>
      <c r="B47" s="16" t="s">
        <v>63</v>
      </c>
      <c r="C47" s="30" t="s">
        <v>64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42"/>
      <c r="V47" s="14"/>
      <c r="W47" s="14"/>
      <c r="X47" s="14"/>
      <c r="Y47" s="36"/>
      <c r="Z47" s="36"/>
    </row>
    <row r="48" spans="1:26" ht="16">
      <c r="A48" s="31">
        <v>1</v>
      </c>
      <c r="B48" s="8" t="s">
        <v>65</v>
      </c>
      <c r="C48" s="32">
        <v>38724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2"/>
      <c r="V48" s="14"/>
      <c r="W48" s="14"/>
      <c r="X48" s="14"/>
      <c r="Y48" s="36"/>
      <c r="Z48" s="36"/>
    </row>
    <row r="49" spans="1:26" ht="16">
      <c r="A49" s="33">
        <v>2</v>
      </c>
      <c r="B49" s="34" t="s">
        <v>66</v>
      </c>
      <c r="C49" s="35">
        <v>12445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2"/>
      <c r="V49" s="14"/>
      <c r="W49" s="14"/>
      <c r="X49" s="14"/>
      <c r="Y49" s="36"/>
      <c r="Z49" s="36"/>
    </row>
    <row r="50" spans="1:26" ht="15"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42"/>
      <c r="V50" s="14"/>
      <c r="W50" s="14"/>
      <c r="X50" s="14"/>
      <c r="Y50" s="36"/>
      <c r="Z50" s="36"/>
    </row>
    <row r="51" spans="1:26" ht="15"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66"/>
      <c r="V51" s="36"/>
      <c r="W51" s="36"/>
      <c r="X51" s="36"/>
      <c r="Y51" s="36"/>
      <c r="Z51" s="36"/>
    </row>
    <row r="52" spans="1:26" ht="1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66"/>
      <c r="V52" s="36"/>
      <c r="W52" s="36"/>
      <c r="X52" s="36"/>
      <c r="Y52" s="36"/>
      <c r="Z52" s="36"/>
    </row>
    <row r="53" spans="1:26" ht="1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66"/>
      <c r="V53" s="36"/>
      <c r="W53" s="36"/>
      <c r="X53" s="36"/>
      <c r="Y53" s="36"/>
      <c r="Z53" s="36"/>
    </row>
    <row r="54" spans="1:26" ht="1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66"/>
      <c r="V54" s="36"/>
      <c r="W54" s="36"/>
      <c r="X54" s="36"/>
      <c r="Y54" s="36"/>
      <c r="Z54" s="36"/>
    </row>
    <row r="55" spans="1:26" ht="1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66"/>
      <c r="V55" s="36"/>
      <c r="W55" s="36"/>
      <c r="X55" s="36"/>
      <c r="Y55" s="36"/>
      <c r="Z55" s="36"/>
    </row>
  </sheetData>
  <mergeCells count="57">
    <mergeCell ref="A2:B3"/>
    <mergeCell ref="A4:B10"/>
    <mergeCell ref="A12:B18"/>
    <mergeCell ref="A20:B26"/>
    <mergeCell ref="B29:C30"/>
    <mergeCell ref="S4:S10"/>
    <mergeCell ref="S12:S18"/>
    <mergeCell ref="S20:S26"/>
    <mergeCell ref="V4:V10"/>
    <mergeCell ref="V12:V18"/>
    <mergeCell ref="V20:V26"/>
    <mergeCell ref="M4:M10"/>
    <mergeCell ref="M12:M18"/>
    <mergeCell ref="M20:M26"/>
    <mergeCell ref="P4:P10"/>
    <mergeCell ref="P12:P18"/>
    <mergeCell ref="P20:P26"/>
    <mergeCell ref="E2:E3"/>
    <mergeCell ref="G4:G10"/>
    <mergeCell ref="G12:G18"/>
    <mergeCell ref="G20:G26"/>
    <mergeCell ref="J4:J10"/>
    <mergeCell ref="J12:J18"/>
    <mergeCell ref="J20:J26"/>
    <mergeCell ref="C2:C3"/>
    <mergeCell ref="C4:C10"/>
    <mergeCell ref="C12:C18"/>
    <mergeCell ref="C20:C26"/>
    <mergeCell ref="D2:D3"/>
    <mergeCell ref="D4:D10"/>
    <mergeCell ref="D12:D18"/>
    <mergeCell ref="D20:D26"/>
    <mergeCell ref="B41:I41"/>
    <mergeCell ref="N43:O43"/>
    <mergeCell ref="N44:O44"/>
    <mergeCell ref="N45:O45"/>
    <mergeCell ref="A29:A30"/>
    <mergeCell ref="A33:A35"/>
    <mergeCell ref="A41:A42"/>
    <mergeCell ref="K30:K31"/>
    <mergeCell ref="B35:C35"/>
    <mergeCell ref="B36:C36"/>
    <mergeCell ref="A37:C37"/>
    <mergeCell ref="A38:C38"/>
    <mergeCell ref="A39:J39"/>
    <mergeCell ref="A28:J28"/>
    <mergeCell ref="B31:C31"/>
    <mergeCell ref="B32:C32"/>
    <mergeCell ref="B33:C33"/>
    <mergeCell ref="B34:C34"/>
    <mergeCell ref="O1:W1"/>
    <mergeCell ref="F2:H2"/>
    <mergeCell ref="I2:K2"/>
    <mergeCell ref="L2:N2"/>
    <mergeCell ref="O2:Q2"/>
    <mergeCell ref="R2:T2"/>
    <mergeCell ref="U2:W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上海大学</vt:lpstr>
      <vt:lpstr>上海师范大学</vt:lpstr>
      <vt:lpstr>上海旅游高等专科学校</vt:lpstr>
      <vt:lpstr>上海理工大学</vt:lpstr>
      <vt:lpstr>上海海事大学</vt:lpstr>
      <vt:lpstr>上海海洋大学</vt:lpstr>
      <vt:lpstr>上海工程技术大学</vt:lpstr>
      <vt:lpstr>上海电力大学</vt:lpstr>
      <vt:lpstr>上海应用技术大学</vt:lpstr>
      <vt:lpstr>上海科技大学</vt:lpstr>
      <vt:lpstr>上海第二工业大学</vt:lpstr>
      <vt:lpstr>上海电机学院</vt:lpstr>
      <vt:lpstr>上海出版印刷高等专科学校</vt:lpstr>
      <vt:lpstr>上海城建职业学院</vt:lpstr>
      <vt:lpstr>上海电子信息职业技术学院</vt:lpstr>
      <vt:lpstr>上海工艺美术职业学院</vt:lpstr>
      <vt:lpstr>上海中医药大学</vt:lpstr>
      <vt:lpstr>上海健康医学院</vt:lpstr>
      <vt:lpstr>上海交通大学医学院</vt:lpstr>
      <vt:lpstr>上海健康医学院附属卫生学校(上海健康护理职业学院(筹))</vt:lpstr>
      <vt:lpstr>上海农林职业技术学院</vt:lpstr>
      <vt:lpstr>华东政法大学</vt:lpstr>
      <vt:lpstr>上海政法学院</vt:lpstr>
      <vt:lpstr>上海对外经贸大学</vt:lpstr>
      <vt:lpstr>上海立信会计金融学院</vt:lpstr>
      <vt:lpstr>上海商学院</vt:lpstr>
      <vt:lpstr>上海体育学院</vt:lpstr>
      <vt:lpstr>上海音乐学院</vt:lpstr>
      <vt:lpstr>上海戏剧学院</vt:lpstr>
      <vt:lpstr>上海市教育基建事务管理中心（1）</vt:lpstr>
      <vt:lpstr>上海市教育基建事务管理中心（2）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28243</dc:creator>
  <cp:lastModifiedBy>Jie Cao</cp:lastModifiedBy>
  <dcterms:created xsi:type="dcterms:W3CDTF">2025-08-21T10:22:00Z</dcterms:created>
  <dcterms:modified xsi:type="dcterms:W3CDTF">2025-10-27T05:39:21Z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60C590EEAB03443495E2A13FF36641EB_11</vt:lpwstr>
  </property>
  <property fmtid="{D5CDD505-2E9C-101B-9397-08002B2CF9AE}" pid="3" name="KSOProductBuildVer">
    <vt:lpwstr>2052-12.1.22218.22218</vt:lpwstr>
  </property>
</Properties>
</file>