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ojie/Desktop/sicc/school_area_project_250922/test/manual/"/>
    </mc:Choice>
  </mc:AlternateContent>
  <xr:revisionPtr revIDLastSave="0" documentId="13_ncr:1_{B5AEDB9D-8A36-544B-A3E7-EBDB70B9BD27}" xr6:coauthVersionLast="47" xr6:coauthVersionMax="47" xr10:uidLastSave="{00000000-0000-0000-0000-000000000000}"/>
  <bookViews>
    <workbookView xWindow="0" yWindow="740" windowWidth="30240" windowHeight="18900" activeTab="2" xr2:uid="{8ABEE09D-CE1C-344B-94C0-FC7D3C299784}"/>
  </bookViews>
  <sheets>
    <sheet name="系数表" sheetId="2" r:id="rId1"/>
    <sheet name="上海大学" sheetId="1" r:id="rId2"/>
    <sheet name="上海大学 (2)" sheetId="4" r:id="rId3"/>
  </sheets>
  <definedNames>
    <definedName name="_xlnm._FilterDatabase" localSheetId="0" hidden="1">系数表!$A$1:$JC$55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D5" i="4"/>
  <c r="C6" i="4"/>
  <c r="D6" i="4"/>
  <c r="C7" i="4"/>
  <c r="D7" i="4"/>
  <c r="C8" i="4"/>
  <c r="D8" i="4"/>
  <c r="C4" i="4"/>
  <c r="D4" i="4" s="1"/>
  <c r="E9" i="4"/>
  <c r="C9" i="4" s="1"/>
  <c r="D9" i="4" s="1"/>
  <c r="H4" i="1"/>
  <c r="I4" i="1" s="1"/>
  <c r="G5" i="1"/>
  <c r="G6" i="1"/>
  <c r="G7" i="1"/>
  <c r="G8" i="1"/>
  <c r="G4" i="1"/>
  <c r="C5" i="1"/>
  <c r="D5" i="1" s="1"/>
  <c r="C6" i="1"/>
  <c r="D6" i="1" s="1"/>
  <c r="C7" i="1"/>
  <c r="C8" i="1"/>
  <c r="D8" i="1" s="1"/>
  <c r="C4" i="1"/>
  <c r="D4" i="1" s="1"/>
  <c r="B9" i="1"/>
  <c r="E9" i="1"/>
  <c r="G9" i="1" s="1"/>
  <c r="C9" i="1" l="1"/>
  <c r="D7" i="1"/>
  <c r="D9" i="1" s="1"/>
</calcChain>
</file>

<file path=xl/sharedStrings.xml><?xml version="1.0" encoding="utf-8"?>
<sst xmlns="http://schemas.openxmlformats.org/spreadsheetml/2006/main" count="191" uniqueCount="65">
  <si>
    <t>后勤辅助用房</t>
  </si>
  <si>
    <t>艺术院校</t>
  </si>
  <si>
    <t>其中:其他生活用房</t>
  </si>
  <si>
    <t>其中:学生宿舍</t>
  </si>
  <si>
    <t>生活配套用房</t>
  </si>
  <si>
    <t>办公用房</t>
  </si>
  <si>
    <t>教学及辅助用房</t>
  </si>
  <si>
    <t>体育院校</t>
  </si>
  <si>
    <t>财经院校</t>
  </si>
  <si>
    <t>政法院校</t>
  </si>
  <si>
    <t>农业院校</t>
  </si>
  <si>
    <t>医药院校</t>
  </si>
  <si>
    <t>理工院校</t>
  </si>
  <si>
    <t>师范院校</t>
  </si>
  <si>
    <t>综合院校</t>
  </si>
  <si>
    <t>留学生博士生均补贴面积(㎡/生)</t>
    <phoneticPr fontId="8" type="noConversion"/>
  </si>
  <si>
    <t>留学生硕士生均补贴面积(㎡/生)</t>
    <phoneticPr fontId="8" type="noConversion"/>
  </si>
  <si>
    <t>留学生生均补贴面积(㎡/生)</t>
    <phoneticPr fontId="8" type="noConversion"/>
  </si>
  <si>
    <t>全日制博士生均补贴面积(㎡/生)</t>
    <phoneticPr fontId="8" type="noConversion"/>
  </si>
  <si>
    <t>全日制硕士生均补贴面积(㎡/生)</t>
    <phoneticPr fontId="8" type="noConversion"/>
  </si>
  <si>
    <t>基础生均面积(㎡/生)</t>
    <phoneticPr fontId="8" type="noConversion"/>
  </si>
  <si>
    <t>用房类型</t>
  </si>
  <si>
    <t>院校类别</t>
  </si>
  <si>
    <t>建筑面积管理底数</t>
    <phoneticPr fontId="1" type="noConversion"/>
  </si>
  <si>
    <t>来源</t>
    <phoneticPr fontId="1" type="noConversion"/>
  </si>
  <si>
    <t>SEC数据</t>
    <phoneticPr fontId="1" type="noConversion"/>
  </si>
  <si>
    <t>校舍用房类别</t>
  </si>
  <si>
    <t>教学及辅助用房面积(㎡)</t>
  </si>
  <si>
    <t>办公用房面积(㎡)</t>
  </si>
  <si>
    <t>后勤辅助用房面积(㎡)</t>
  </si>
  <si>
    <t>生活用房总面积(㎡)</t>
  </si>
  <si>
    <t>其中：学生宿舍面积(㎡)</t>
  </si>
  <si>
    <t>其中：其他生活用房面积(㎡)</t>
  </si>
  <si>
    <t>现状</t>
    <phoneticPr fontId="1" type="noConversion"/>
  </si>
  <si>
    <t>拟建成_前期</t>
    <phoneticPr fontId="1" type="noConversion"/>
  </si>
  <si>
    <t>拟建成_在建</t>
    <phoneticPr fontId="1" type="noConversion"/>
  </si>
  <si>
    <t>汇总</t>
    <phoneticPr fontId="1" type="noConversion"/>
  </si>
  <si>
    <t>测算</t>
    <phoneticPr fontId="1" type="noConversion"/>
  </si>
  <si>
    <t>缺额</t>
    <phoneticPr fontId="1" type="noConversion"/>
  </si>
  <si>
    <t>规划学生数</t>
    <phoneticPr fontId="1" type="noConversion"/>
  </si>
  <si>
    <t>规划年度</t>
    <phoneticPr fontId="1" type="noConversion"/>
  </si>
  <si>
    <t>测算口径</t>
    <phoneticPr fontId="1" type="noConversion"/>
  </si>
  <si>
    <t>专科全日制学生数(人)</t>
  </si>
  <si>
    <t>本科全日制学生数(人)</t>
  </si>
  <si>
    <t>硕士全日制学生数(人)</t>
  </si>
  <si>
    <t>博士全日制学生数(人)</t>
  </si>
  <si>
    <t>学历本科留学生数(人)</t>
  </si>
  <si>
    <t>学历硕士留学生数(人)</t>
  </si>
  <si>
    <t>学历博士留学生数(人)</t>
  </si>
  <si>
    <t>补助项目名称</t>
    <phoneticPr fontId="1" type="noConversion"/>
  </si>
  <si>
    <t>补助建筑面积</t>
    <phoneticPr fontId="1" type="noConversion"/>
  </si>
  <si>
    <t>学校自供</t>
    <phoneticPr fontId="1" type="noConversion"/>
  </si>
  <si>
    <t>抄告规模（十四五）</t>
    <phoneticPr fontId="1" type="noConversion"/>
  </si>
  <si>
    <t>抄告规模（十五五）</t>
    <phoneticPr fontId="1" type="noConversion"/>
  </si>
  <si>
    <t>图书馆改造</t>
  </si>
  <si>
    <t>体育设施建设</t>
  </si>
  <si>
    <t>总缺额不含补助</t>
    <phoneticPr fontId="1" type="noConversion"/>
  </si>
  <si>
    <t>总缺额含补助</t>
    <phoneticPr fontId="1" type="noConversion"/>
  </si>
  <si>
    <t>总学生数</t>
    <phoneticPr fontId="1" type="noConversion"/>
  </si>
  <si>
    <t>测算1</t>
    <phoneticPr fontId="1" type="noConversion"/>
  </si>
  <si>
    <t>缺额1</t>
    <phoneticPr fontId="1" type="noConversion"/>
  </si>
  <si>
    <t>测算2</t>
    <phoneticPr fontId="1" type="noConversion"/>
  </si>
  <si>
    <t>缺额2</t>
    <phoneticPr fontId="1" type="noConversion"/>
  </si>
  <si>
    <t>测算3</t>
    <phoneticPr fontId="1" type="noConversion"/>
  </si>
  <si>
    <t>缺额3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</si>
</sst>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_ "/>
    <numFmt numFmtId="178" formatCode="0.00_ 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1"/>
      <color rgb="FF000000"/>
      <name val="Arial"/>
      <family val="2"/>
    </font>
    <font>
      <b/>
      <sz val="11"/>
      <name val="Microsoft YaHei"/>
      <family val="2"/>
      <charset val="134"/>
    </font>
    <font>
      <sz val="9"/>
      <name val="等线"/>
      <family val="3"/>
      <charset val="134"/>
      <scheme val="minor"/>
    </font>
    <font>
      <b/>
      <sz val="11"/>
      <color rgb="FF000000"/>
      <name val="Microsoft YaHei"/>
      <family val="2"/>
      <charset val="134"/>
    </font>
    <font>
      <sz val="12"/>
      <color theme="1"/>
      <name val="等线"/>
      <family val="3"/>
      <charset val="134"/>
      <scheme val="minor"/>
    </font>
    <font>
      <sz val="12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4"/>
        <bgColor rgb="FF0000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1" xfId="1" applyFont="1" applyBorder="1" applyAlignment="1">
      <alignment horizontal="center" vertical="center" wrapText="1"/>
    </xf>
    <xf numFmtId="176" fontId="3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177" fontId="3" fillId="0" borderId="1" xfId="1" applyNumberFormat="1" applyFont="1" applyBorder="1" applyAlignment="1">
      <alignment horizontal="center" vertical="center" wrapText="1"/>
    </xf>
    <xf numFmtId="178" fontId="3" fillId="0" borderId="1" xfId="1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left" vertical="top" wrapText="1"/>
    </xf>
    <xf numFmtId="49" fontId="7" fillId="0" borderId="1" xfId="1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9" xfId="0" applyFont="1" applyFill="1" applyBorder="1">
      <alignment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AF6E780-3650-1A42-8FB3-D529107D10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79D5-44A7-F24C-AB68-27F6186B3E03}">
  <dimension ref="A1:JC55"/>
  <sheetViews>
    <sheetView zoomScale="144" zoomScaleNormal="85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baseColWidth="10" defaultColWidth="8.6640625" defaultRowHeight="15"/>
  <cols>
    <col min="1" max="1" width="13" style="1" customWidth="1"/>
    <col min="2" max="2" width="22" style="1" customWidth="1"/>
    <col min="3" max="3" width="14.6640625" style="1" customWidth="1"/>
    <col min="4" max="5" width="15.6640625" style="1" customWidth="1"/>
    <col min="6" max="6" width="14.6640625" style="1" customWidth="1"/>
    <col min="7" max="8" width="15.6640625" style="1" customWidth="1"/>
    <col min="9" max="16384" width="8.6640625" style="1"/>
  </cols>
  <sheetData>
    <row r="1" spans="1:263" ht="39" customHeight="1">
      <c r="A1" s="12" t="s">
        <v>22</v>
      </c>
      <c r="B1" s="11" t="s">
        <v>21</v>
      </c>
      <c r="C1" s="10" t="s">
        <v>20</v>
      </c>
      <c r="D1" s="10" t="s">
        <v>19</v>
      </c>
      <c r="E1" s="10" t="s">
        <v>18</v>
      </c>
      <c r="F1" s="10" t="s">
        <v>17</v>
      </c>
      <c r="G1" s="10" t="s">
        <v>16</v>
      </c>
      <c r="H1" s="10" t="s">
        <v>15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</row>
    <row r="2" spans="1:263" ht="22.5" customHeight="1">
      <c r="A2" s="4" t="s">
        <v>14</v>
      </c>
      <c r="B2" s="4" t="s">
        <v>6</v>
      </c>
      <c r="C2" s="8">
        <v>12.95</v>
      </c>
      <c r="D2" s="3">
        <v>3</v>
      </c>
      <c r="E2" s="3">
        <v>3</v>
      </c>
      <c r="F2" s="3">
        <v>0</v>
      </c>
      <c r="G2" s="2">
        <v>3</v>
      </c>
      <c r="H2" s="2">
        <v>3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</row>
    <row r="3" spans="1:263" ht="22.5" customHeight="1">
      <c r="A3" s="4" t="s">
        <v>14</v>
      </c>
      <c r="B3" s="4" t="s">
        <v>5</v>
      </c>
      <c r="C3" s="3">
        <v>2</v>
      </c>
      <c r="D3" s="3">
        <v>2</v>
      </c>
      <c r="E3" s="3">
        <v>2</v>
      </c>
      <c r="F3" s="3">
        <v>0</v>
      </c>
      <c r="G3" s="2">
        <v>2</v>
      </c>
      <c r="H3" s="2">
        <v>2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</row>
    <row r="4" spans="1:263" ht="22.5" customHeight="1">
      <c r="A4" s="4" t="s">
        <v>14</v>
      </c>
      <c r="B4" s="4" t="s">
        <v>4</v>
      </c>
      <c r="C4" s="3">
        <v>12</v>
      </c>
      <c r="D4" s="3">
        <v>5</v>
      </c>
      <c r="E4" s="3">
        <v>14</v>
      </c>
      <c r="F4" s="3">
        <v>19</v>
      </c>
      <c r="G4" s="2">
        <v>5</v>
      </c>
      <c r="H4" s="2">
        <v>14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</row>
    <row r="5" spans="1:263" ht="22.5" customHeight="1">
      <c r="A5" s="4" t="s">
        <v>14</v>
      </c>
      <c r="B5" s="6" t="s">
        <v>3</v>
      </c>
      <c r="C5" s="3">
        <v>10</v>
      </c>
      <c r="D5" s="3">
        <v>5</v>
      </c>
      <c r="E5" s="3">
        <v>14</v>
      </c>
      <c r="F5" s="3">
        <v>0</v>
      </c>
      <c r="G5" s="2">
        <v>5</v>
      </c>
      <c r="H5" s="2">
        <v>14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</row>
    <row r="6" spans="1:263" ht="22.5" customHeight="1">
      <c r="A6" s="4" t="s">
        <v>14</v>
      </c>
      <c r="B6" s="6" t="s">
        <v>2</v>
      </c>
      <c r="C6" s="5">
        <v>2</v>
      </c>
      <c r="D6" s="3">
        <v>0</v>
      </c>
      <c r="E6" s="3">
        <v>0</v>
      </c>
      <c r="F6" s="3">
        <v>19</v>
      </c>
      <c r="G6" s="2">
        <v>0</v>
      </c>
      <c r="H6" s="2">
        <v>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</row>
    <row r="7" spans="1:263" ht="22.5" customHeight="1">
      <c r="A7" s="4" t="s">
        <v>14</v>
      </c>
      <c r="B7" s="4" t="s">
        <v>0</v>
      </c>
      <c r="C7" s="8">
        <v>1.55</v>
      </c>
      <c r="D7" s="3">
        <v>0</v>
      </c>
      <c r="E7" s="3">
        <v>0</v>
      </c>
      <c r="F7" s="3">
        <v>0</v>
      </c>
      <c r="G7" s="2">
        <v>0</v>
      </c>
      <c r="H7" s="2">
        <v>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</row>
    <row r="8" spans="1:263" ht="22.5" customHeight="1">
      <c r="A8" s="4" t="s">
        <v>13</v>
      </c>
      <c r="B8" s="4" t="s">
        <v>6</v>
      </c>
      <c r="C8" s="8">
        <v>12.95</v>
      </c>
      <c r="D8" s="3">
        <v>3</v>
      </c>
      <c r="E8" s="3">
        <v>3</v>
      </c>
      <c r="F8" s="3">
        <v>0</v>
      </c>
      <c r="G8" s="2">
        <v>3</v>
      </c>
      <c r="H8" s="2">
        <v>3</v>
      </c>
    </row>
    <row r="9" spans="1:263" ht="22.5" customHeight="1">
      <c r="A9" s="4" t="s">
        <v>13</v>
      </c>
      <c r="B9" s="4" t="s">
        <v>5</v>
      </c>
      <c r="C9" s="3">
        <v>2</v>
      </c>
      <c r="D9" s="3">
        <v>2</v>
      </c>
      <c r="E9" s="3">
        <v>2</v>
      </c>
      <c r="F9" s="3">
        <v>0</v>
      </c>
      <c r="G9" s="2">
        <v>2</v>
      </c>
      <c r="H9" s="2">
        <v>2</v>
      </c>
    </row>
    <row r="10" spans="1:263" ht="22.5" customHeight="1">
      <c r="A10" s="4" t="s">
        <v>13</v>
      </c>
      <c r="B10" s="4" t="s">
        <v>4</v>
      </c>
      <c r="C10" s="3">
        <v>12</v>
      </c>
      <c r="D10" s="3">
        <v>5</v>
      </c>
      <c r="E10" s="3">
        <v>14</v>
      </c>
      <c r="F10" s="3">
        <v>19</v>
      </c>
      <c r="G10" s="2">
        <v>5</v>
      </c>
      <c r="H10" s="2">
        <v>14</v>
      </c>
    </row>
    <row r="11" spans="1:263" ht="22.5" customHeight="1">
      <c r="A11" s="4" t="s">
        <v>13</v>
      </c>
      <c r="B11" s="6" t="s">
        <v>3</v>
      </c>
      <c r="C11" s="3">
        <v>10</v>
      </c>
      <c r="D11" s="3">
        <v>5</v>
      </c>
      <c r="E11" s="3">
        <v>14</v>
      </c>
      <c r="F11" s="3">
        <v>0</v>
      </c>
      <c r="G11" s="2">
        <v>5</v>
      </c>
      <c r="H11" s="2">
        <v>14</v>
      </c>
    </row>
    <row r="12" spans="1:263" ht="22.5" customHeight="1">
      <c r="A12" s="4" t="s">
        <v>13</v>
      </c>
      <c r="B12" s="6" t="s">
        <v>2</v>
      </c>
      <c r="C12" s="5">
        <v>2</v>
      </c>
      <c r="D12" s="3">
        <v>0</v>
      </c>
      <c r="E12" s="3">
        <v>0</v>
      </c>
      <c r="F12" s="3">
        <v>19</v>
      </c>
      <c r="G12" s="2">
        <v>0</v>
      </c>
      <c r="H12" s="2">
        <v>0</v>
      </c>
    </row>
    <row r="13" spans="1:263" ht="22.5" customHeight="1">
      <c r="A13" s="4" t="s">
        <v>13</v>
      </c>
      <c r="B13" s="4" t="s">
        <v>0</v>
      </c>
      <c r="C13" s="8">
        <v>1.55</v>
      </c>
      <c r="D13" s="3">
        <v>0</v>
      </c>
      <c r="E13" s="3">
        <v>0</v>
      </c>
      <c r="F13" s="3">
        <v>0</v>
      </c>
      <c r="G13" s="2">
        <v>0</v>
      </c>
      <c r="H13" s="2">
        <v>0</v>
      </c>
    </row>
    <row r="14" spans="1:263" ht="22.5" customHeight="1">
      <c r="A14" s="4" t="s">
        <v>12</v>
      </c>
      <c r="B14" s="4" t="s">
        <v>6</v>
      </c>
      <c r="C14" s="8">
        <v>15.95</v>
      </c>
      <c r="D14" s="3">
        <v>3</v>
      </c>
      <c r="E14" s="5">
        <v>3</v>
      </c>
      <c r="F14" s="5">
        <v>0</v>
      </c>
      <c r="G14" s="2">
        <v>3</v>
      </c>
      <c r="H14" s="2">
        <v>3</v>
      </c>
    </row>
    <row r="15" spans="1:263" ht="22.5" customHeight="1">
      <c r="A15" s="4" t="s">
        <v>12</v>
      </c>
      <c r="B15" s="4" t="s">
        <v>5</v>
      </c>
      <c r="C15" s="3">
        <v>2</v>
      </c>
      <c r="D15" s="3">
        <v>2</v>
      </c>
      <c r="E15" s="5">
        <v>2</v>
      </c>
      <c r="F15" s="5">
        <v>0</v>
      </c>
      <c r="G15" s="2">
        <v>2</v>
      </c>
      <c r="H15" s="2">
        <v>2</v>
      </c>
    </row>
    <row r="16" spans="1:263" ht="22.5" customHeight="1">
      <c r="A16" s="4" t="s">
        <v>12</v>
      </c>
      <c r="B16" s="4" t="s">
        <v>4</v>
      </c>
      <c r="C16" s="3">
        <v>12</v>
      </c>
      <c r="D16" s="3">
        <v>5</v>
      </c>
      <c r="E16" s="5">
        <v>14</v>
      </c>
      <c r="F16" s="5">
        <v>19</v>
      </c>
      <c r="G16" s="2">
        <v>5</v>
      </c>
      <c r="H16" s="2">
        <v>14</v>
      </c>
    </row>
    <row r="17" spans="1:8" ht="22.5" customHeight="1">
      <c r="A17" s="4" t="s">
        <v>12</v>
      </c>
      <c r="B17" s="6" t="s">
        <v>3</v>
      </c>
      <c r="C17" s="3">
        <v>10</v>
      </c>
      <c r="D17" s="3">
        <v>5</v>
      </c>
      <c r="E17" s="5">
        <v>14</v>
      </c>
      <c r="F17" s="5">
        <v>0</v>
      </c>
      <c r="G17" s="2">
        <v>5</v>
      </c>
      <c r="H17" s="2">
        <v>14</v>
      </c>
    </row>
    <row r="18" spans="1:8" ht="22.5" customHeight="1">
      <c r="A18" s="4" t="s">
        <v>12</v>
      </c>
      <c r="B18" s="6" t="s">
        <v>2</v>
      </c>
      <c r="C18" s="5">
        <v>2</v>
      </c>
      <c r="D18" s="3">
        <v>0</v>
      </c>
      <c r="E18" s="3">
        <v>0</v>
      </c>
      <c r="F18" s="3">
        <v>19</v>
      </c>
      <c r="G18" s="2">
        <v>0</v>
      </c>
      <c r="H18" s="2">
        <v>0</v>
      </c>
    </row>
    <row r="19" spans="1:8" ht="22.5" customHeight="1">
      <c r="A19" s="4" t="s">
        <v>12</v>
      </c>
      <c r="B19" s="4" t="s">
        <v>0</v>
      </c>
      <c r="C19" s="5">
        <v>1.55</v>
      </c>
      <c r="D19" s="3">
        <v>0</v>
      </c>
      <c r="E19" s="5">
        <v>0</v>
      </c>
      <c r="F19" s="5">
        <v>0</v>
      </c>
      <c r="G19" s="2">
        <v>0</v>
      </c>
      <c r="H19" s="2">
        <v>0</v>
      </c>
    </row>
    <row r="20" spans="1:8" ht="22.5" customHeight="1">
      <c r="A20" s="4" t="s">
        <v>11</v>
      </c>
      <c r="B20" s="4" t="s">
        <v>6</v>
      </c>
      <c r="C20" s="8">
        <v>15.95</v>
      </c>
      <c r="D20" s="3">
        <v>3</v>
      </c>
      <c r="E20" s="5">
        <v>3</v>
      </c>
      <c r="F20" s="5">
        <v>0</v>
      </c>
      <c r="G20" s="2">
        <v>3</v>
      </c>
      <c r="H20" s="2">
        <v>3</v>
      </c>
    </row>
    <row r="21" spans="1:8" ht="22.5" customHeight="1">
      <c r="A21" s="4" t="s">
        <v>11</v>
      </c>
      <c r="B21" s="4" t="s">
        <v>5</v>
      </c>
      <c r="C21" s="3">
        <v>2</v>
      </c>
      <c r="D21" s="3">
        <v>2</v>
      </c>
      <c r="E21" s="5">
        <v>2</v>
      </c>
      <c r="F21" s="5">
        <v>0</v>
      </c>
      <c r="G21" s="2">
        <v>2</v>
      </c>
      <c r="H21" s="2">
        <v>2</v>
      </c>
    </row>
    <row r="22" spans="1:8" ht="22.5" customHeight="1">
      <c r="A22" s="4" t="s">
        <v>11</v>
      </c>
      <c r="B22" s="4" t="s">
        <v>4</v>
      </c>
      <c r="C22" s="3">
        <v>12</v>
      </c>
      <c r="D22" s="3">
        <v>5</v>
      </c>
      <c r="E22" s="5">
        <v>14</v>
      </c>
      <c r="F22" s="5">
        <v>19</v>
      </c>
      <c r="G22" s="2">
        <v>5</v>
      </c>
      <c r="H22" s="2">
        <v>14</v>
      </c>
    </row>
    <row r="23" spans="1:8" ht="22.5" customHeight="1">
      <c r="A23" s="4" t="s">
        <v>11</v>
      </c>
      <c r="B23" s="6" t="s">
        <v>3</v>
      </c>
      <c r="C23" s="3">
        <v>10</v>
      </c>
      <c r="D23" s="3">
        <v>5</v>
      </c>
      <c r="E23" s="5">
        <v>14</v>
      </c>
      <c r="F23" s="5">
        <v>0</v>
      </c>
      <c r="G23" s="2">
        <v>5</v>
      </c>
      <c r="H23" s="2">
        <v>14</v>
      </c>
    </row>
    <row r="24" spans="1:8" ht="22.5" customHeight="1">
      <c r="A24" s="4" t="s">
        <v>11</v>
      </c>
      <c r="B24" s="6" t="s">
        <v>2</v>
      </c>
      <c r="C24" s="5">
        <v>2</v>
      </c>
      <c r="D24" s="3">
        <v>0</v>
      </c>
      <c r="E24" s="3">
        <v>0</v>
      </c>
      <c r="F24" s="3">
        <v>19</v>
      </c>
      <c r="G24" s="2">
        <v>0</v>
      </c>
      <c r="H24" s="2">
        <v>0</v>
      </c>
    </row>
    <row r="25" spans="1:8" ht="22.5" customHeight="1">
      <c r="A25" s="4" t="s">
        <v>11</v>
      </c>
      <c r="B25" s="4" t="s">
        <v>0</v>
      </c>
      <c r="C25" s="5">
        <v>1.55</v>
      </c>
      <c r="D25" s="3">
        <v>0</v>
      </c>
      <c r="E25" s="5">
        <v>0</v>
      </c>
      <c r="F25" s="5">
        <v>0</v>
      </c>
      <c r="G25" s="2">
        <v>0</v>
      </c>
      <c r="H25" s="2">
        <v>0</v>
      </c>
    </row>
    <row r="26" spans="1:8" ht="22.5" customHeight="1">
      <c r="A26" s="4" t="s">
        <v>10</v>
      </c>
      <c r="B26" s="4" t="s">
        <v>6</v>
      </c>
      <c r="C26" s="8">
        <v>15.95</v>
      </c>
      <c r="D26" s="3">
        <v>3</v>
      </c>
      <c r="E26" s="5">
        <v>3</v>
      </c>
      <c r="F26" s="5">
        <v>0</v>
      </c>
      <c r="G26" s="2">
        <v>3</v>
      </c>
      <c r="H26" s="2">
        <v>3</v>
      </c>
    </row>
    <row r="27" spans="1:8" ht="22.5" customHeight="1">
      <c r="A27" s="4" t="s">
        <v>10</v>
      </c>
      <c r="B27" s="4" t="s">
        <v>5</v>
      </c>
      <c r="C27" s="3">
        <v>2</v>
      </c>
      <c r="D27" s="3">
        <v>2</v>
      </c>
      <c r="E27" s="5">
        <v>2</v>
      </c>
      <c r="F27" s="5">
        <v>0</v>
      </c>
      <c r="G27" s="2">
        <v>2</v>
      </c>
      <c r="H27" s="2">
        <v>2</v>
      </c>
    </row>
    <row r="28" spans="1:8" ht="22.5" customHeight="1">
      <c r="A28" s="4" t="s">
        <v>10</v>
      </c>
      <c r="B28" s="4" t="s">
        <v>4</v>
      </c>
      <c r="C28" s="3">
        <v>12</v>
      </c>
      <c r="D28" s="3">
        <v>5</v>
      </c>
      <c r="E28" s="5">
        <v>14</v>
      </c>
      <c r="F28" s="5">
        <v>19</v>
      </c>
      <c r="G28" s="2">
        <v>5</v>
      </c>
      <c r="H28" s="2">
        <v>14</v>
      </c>
    </row>
    <row r="29" spans="1:8" ht="22.5" customHeight="1">
      <c r="A29" s="4" t="s">
        <v>10</v>
      </c>
      <c r="B29" s="6" t="s">
        <v>3</v>
      </c>
      <c r="C29" s="3">
        <v>10</v>
      </c>
      <c r="D29" s="3">
        <v>5</v>
      </c>
      <c r="E29" s="5">
        <v>14</v>
      </c>
      <c r="F29" s="5">
        <v>0</v>
      </c>
      <c r="G29" s="2">
        <v>5</v>
      </c>
      <c r="H29" s="2">
        <v>14</v>
      </c>
    </row>
    <row r="30" spans="1:8" ht="22.5" customHeight="1">
      <c r="A30" s="4" t="s">
        <v>10</v>
      </c>
      <c r="B30" s="6" t="s">
        <v>2</v>
      </c>
      <c r="C30" s="5">
        <v>2</v>
      </c>
      <c r="D30" s="3">
        <v>0</v>
      </c>
      <c r="E30" s="3">
        <v>0</v>
      </c>
      <c r="F30" s="3">
        <v>19</v>
      </c>
      <c r="G30" s="2">
        <v>0</v>
      </c>
      <c r="H30" s="2">
        <v>0</v>
      </c>
    </row>
    <row r="31" spans="1:8" ht="22.5" customHeight="1">
      <c r="A31" s="4" t="s">
        <v>10</v>
      </c>
      <c r="B31" s="4" t="s">
        <v>0</v>
      </c>
      <c r="C31" s="5">
        <v>1.55</v>
      </c>
      <c r="D31" s="3">
        <v>0</v>
      </c>
      <c r="E31" s="5">
        <v>0</v>
      </c>
      <c r="F31" s="5">
        <v>0</v>
      </c>
      <c r="G31" s="2">
        <v>0</v>
      </c>
      <c r="H31" s="2">
        <v>0</v>
      </c>
    </row>
    <row r="32" spans="1:8" ht="22.5" customHeight="1">
      <c r="A32" s="4" t="s">
        <v>9</v>
      </c>
      <c r="B32" s="4" t="s">
        <v>6</v>
      </c>
      <c r="C32" s="8">
        <v>7.95</v>
      </c>
      <c r="D32" s="3">
        <v>3</v>
      </c>
      <c r="E32" s="3">
        <v>3</v>
      </c>
      <c r="F32" s="3">
        <v>0</v>
      </c>
      <c r="G32" s="2">
        <v>3</v>
      </c>
      <c r="H32" s="2">
        <v>3</v>
      </c>
    </row>
    <row r="33" spans="1:8" ht="22.5" customHeight="1">
      <c r="A33" s="4" t="s">
        <v>9</v>
      </c>
      <c r="B33" s="4" t="s">
        <v>5</v>
      </c>
      <c r="C33" s="3">
        <v>2</v>
      </c>
      <c r="D33" s="3">
        <v>2</v>
      </c>
      <c r="E33" s="3">
        <v>2</v>
      </c>
      <c r="F33" s="3">
        <v>0</v>
      </c>
      <c r="G33" s="2">
        <v>2</v>
      </c>
      <c r="H33" s="2">
        <v>2</v>
      </c>
    </row>
    <row r="34" spans="1:8" ht="22.5" customHeight="1">
      <c r="A34" s="4" t="s">
        <v>9</v>
      </c>
      <c r="B34" s="4" t="s">
        <v>4</v>
      </c>
      <c r="C34" s="3">
        <v>12</v>
      </c>
      <c r="D34" s="3">
        <v>5</v>
      </c>
      <c r="E34" s="3">
        <v>14</v>
      </c>
      <c r="F34" s="3">
        <v>19</v>
      </c>
      <c r="G34" s="2">
        <v>5</v>
      </c>
      <c r="H34" s="2">
        <v>14</v>
      </c>
    </row>
    <row r="35" spans="1:8" ht="22.5" customHeight="1">
      <c r="A35" s="4" t="s">
        <v>9</v>
      </c>
      <c r="B35" s="6" t="s">
        <v>3</v>
      </c>
      <c r="C35" s="3">
        <v>10</v>
      </c>
      <c r="D35" s="3">
        <v>5</v>
      </c>
      <c r="E35" s="3">
        <v>14</v>
      </c>
      <c r="F35" s="3">
        <v>0</v>
      </c>
      <c r="G35" s="2">
        <v>5</v>
      </c>
      <c r="H35" s="2">
        <v>14</v>
      </c>
    </row>
    <row r="36" spans="1:8" ht="22.5" customHeight="1">
      <c r="A36" s="4" t="s">
        <v>9</v>
      </c>
      <c r="B36" s="6" t="s">
        <v>2</v>
      </c>
      <c r="C36" s="5">
        <v>2</v>
      </c>
      <c r="D36" s="3">
        <v>0</v>
      </c>
      <c r="E36" s="3">
        <v>0</v>
      </c>
      <c r="F36" s="3">
        <v>19</v>
      </c>
      <c r="G36" s="2">
        <v>0</v>
      </c>
      <c r="H36" s="2">
        <v>0</v>
      </c>
    </row>
    <row r="37" spans="1:8" ht="22.5" customHeight="1">
      <c r="A37" s="4" t="s">
        <v>9</v>
      </c>
      <c r="B37" s="4" t="s">
        <v>0</v>
      </c>
      <c r="C37" s="8">
        <v>1.55</v>
      </c>
      <c r="D37" s="3">
        <v>0</v>
      </c>
      <c r="E37" s="3">
        <v>0</v>
      </c>
      <c r="F37" s="3">
        <v>0</v>
      </c>
      <c r="G37" s="2">
        <v>0</v>
      </c>
      <c r="H37" s="2">
        <v>0</v>
      </c>
    </row>
    <row r="38" spans="1:8" ht="22.5" customHeight="1">
      <c r="A38" s="4" t="s">
        <v>8</v>
      </c>
      <c r="B38" s="4" t="s">
        <v>6</v>
      </c>
      <c r="C38" s="8">
        <v>7.95</v>
      </c>
      <c r="D38" s="3">
        <v>3</v>
      </c>
      <c r="E38" s="3">
        <v>3</v>
      </c>
      <c r="F38" s="3">
        <v>0</v>
      </c>
      <c r="G38" s="2">
        <v>3</v>
      </c>
      <c r="H38" s="2">
        <v>3</v>
      </c>
    </row>
    <row r="39" spans="1:8" ht="22.5" customHeight="1">
      <c r="A39" s="4" t="s">
        <v>8</v>
      </c>
      <c r="B39" s="4" t="s">
        <v>5</v>
      </c>
      <c r="C39" s="3">
        <v>2</v>
      </c>
      <c r="D39" s="3">
        <v>2</v>
      </c>
      <c r="E39" s="3">
        <v>2</v>
      </c>
      <c r="F39" s="3">
        <v>0</v>
      </c>
      <c r="G39" s="2">
        <v>2</v>
      </c>
      <c r="H39" s="2">
        <v>2</v>
      </c>
    </row>
    <row r="40" spans="1:8" ht="22.5" customHeight="1">
      <c r="A40" s="4" t="s">
        <v>8</v>
      </c>
      <c r="B40" s="4" t="s">
        <v>4</v>
      </c>
      <c r="C40" s="3">
        <v>12</v>
      </c>
      <c r="D40" s="3">
        <v>5</v>
      </c>
      <c r="E40" s="3">
        <v>14</v>
      </c>
      <c r="F40" s="3">
        <v>19</v>
      </c>
      <c r="G40" s="2">
        <v>5</v>
      </c>
      <c r="H40" s="2">
        <v>14</v>
      </c>
    </row>
    <row r="41" spans="1:8" ht="22.5" customHeight="1">
      <c r="A41" s="4" t="s">
        <v>8</v>
      </c>
      <c r="B41" s="6" t="s">
        <v>3</v>
      </c>
      <c r="C41" s="3">
        <v>10</v>
      </c>
      <c r="D41" s="3">
        <v>5</v>
      </c>
      <c r="E41" s="3">
        <v>14</v>
      </c>
      <c r="F41" s="3">
        <v>0</v>
      </c>
      <c r="G41" s="2">
        <v>5</v>
      </c>
      <c r="H41" s="2">
        <v>14</v>
      </c>
    </row>
    <row r="42" spans="1:8" ht="22.5" customHeight="1">
      <c r="A42" s="4" t="s">
        <v>8</v>
      </c>
      <c r="B42" s="6" t="s">
        <v>2</v>
      </c>
      <c r="C42" s="5">
        <v>2</v>
      </c>
      <c r="D42" s="3">
        <v>0</v>
      </c>
      <c r="E42" s="3">
        <v>0</v>
      </c>
      <c r="F42" s="3">
        <v>19</v>
      </c>
      <c r="G42" s="2">
        <v>0</v>
      </c>
      <c r="H42" s="2">
        <v>0</v>
      </c>
    </row>
    <row r="43" spans="1:8" ht="22.5" customHeight="1">
      <c r="A43" s="4" t="s">
        <v>8</v>
      </c>
      <c r="B43" s="4" t="s">
        <v>0</v>
      </c>
      <c r="C43" s="8">
        <v>1.55</v>
      </c>
      <c r="D43" s="3">
        <v>0</v>
      </c>
      <c r="E43" s="3">
        <v>0</v>
      </c>
      <c r="F43" s="3">
        <v>0</v>
      </c>
      <c r="G43" s="2">
        <v>0</v>
      </c>
      <c r="H43" s="2">
        <v>0</v>
      </c>
    </row>
    <row r="44" spans="1:8" ht="22.5" customHeight="1">
      <c r="A44" s="4" t="s">
        <v>7</v>
      </c>
      <c r="B44" s="4" t="s">
        <v>6</v>
      </c>
      <c r="C44" s="3">
        <v>22</v>
      </c>
      <c r="D44" s="3">
        <v>3</v>
      </c>
      <c r="E44" s="3">
        <v>3</v>
      </c>
      <c r="F44" s="3">
        <v>0</v>
      </c>
      <c r="G44" s="2">
        <v>3</v>
      </c>
      <c r="H44" s="2">
        <v>3</v>
      </c>
    </row>
    <row r="45" spans="1:8" ht="22.5" customHeight="1">
      <c r="A45" s="4" t="s">
        <v>7</v>
      </c>
      <c r="B45" s="4" t="s">
        <v>5</v>
      </c>
      <c r="C45" s="7">
        <v>2.2000000000000002</v>
      </c>
      <c r="D45" s="3">
        <v>2</v>
      </c>
      <c r="E45" s="3">
        <v>2</v>
      </c>
      <c r="F45" s="3">
        <v>0</v>
      </c>
      <c r="G45" s="2">
        <v>2</v>
      </c>
      <c r="H45" s="2">
        <v>2</v>
      </c>
    </row>
    <row r="46" spans="1:8" ht="22.5" customHeight="1">
      <c r="A46" s="4" t="s">
        <v>7</v>
      </c>
      <c r="B46" s="4" t="s">
        <v>4</v>
      </c>
      <c r="C46" s="3">
        <v>12</v>
      </c>
      <c r="D46" s="3">
        <v>5</v>
      </c>
      <c r="E46" s="3">
        <v>14</v>
      </c>
      <c r="F46" s="3">
        <v>19</v>
      </c>
      <c r="G46" s="2">
        <v>5</v>
      </c>
      <c r="H46" s="2">
        <v>14</v>
      </c>
    </row>
    <row r="47" spans="1:8" ht="22.5" customHeight="1">
      <c r="A47" s="4" t="s">
        <v>7</v>
      </c>
      <c r="B47" s="6" t="s">
        <v>3</v>
      </c>
      <c r="C47" s="3">
        <v>10</v>
      </c>
      <c r="D47" s="3">
        <v>5</v>
      </c>
      <c r="E47" s="3">
        <v>14</v>
      </c>
      <c r="F47" s="3">
        <v>0</v>
      </c>
      <c r="G47" s="2">
        <v>5</v>
      </c>
      <c r="H47" s="2">
        <v>14</v>
      </c>
    </row>
    <row r="48" spans="1:8" ht="22.5" customHeight="1">
      <c r="A48" s="4" t="s">
        <v>7</v>
      </c>
      <c r="B48" s="6" t="s">
        <v>2</v>
      </c>
      <c r="C48" s="5">
        <v>2</v>
      </c>
      <c r="D48" s="3">
        <v>0</v>
      </c>
      <c r="E48" s="3">
        <v>0</v>
      </c>
      <c r="F48" s="3">
        <v>19</v>
      </c>
      <c r="G48" s="2">
        <v>0</v>
      </c>
      <c r="H48" s="2">
        <v>0</v>
      </c>
    </row>
    <row r="49" spans="1:8" ht="22.5" customHeight="1">
      <c r="A49" s="4" t="s">
        <v>7</v>
      </c>
      <c r="B49" s="4" t="s">
        <v>0</v>
      </c>
      <c r="C49" s="7">
        <v>1.8</v>
      </c>
      <c r="D49" s="3">
        <v>0</v>
      </c>
      <c r="E49" s="3">
        <v>0</v>
      </c>
      <c r="F49" s="3">
        <v>0</v>
      </c>
      <c r="G49" s="2">
        <v>0</v>
      </c>
      <c r="H49" s="2">
        <v>0</v>
      </c>
    </row>
    <row r="50" spans="1:8" ht="22.5" customHeight="1">
      <c r="A50" s="4" t="s">
        <v>1</v>
      </c>
      <c r="B50" s="4" t="s">
        <v>6</v>
      </c>
      <c r="C50" s="7">
        <v>53.5</v>
      </c>
      <c r="D50" s="3">
        <v>3</v>
      </c>
      <c r="E50" s="3">
        <v>3</v>
      </c>
      <c r="F50" s="3">
        <v>0</v>
      </c>
      <c r="G50" s="2">
        <v>3</v>
      </c>
      <c r="H50" s="2">
        <v>3</v>
      </c>
    </row>
    <row r="51" spans="1:8" ht="22.5" customHeight="1">
      <c r="A51" s="4" t="s">
        <v>1</v>
      </c>
      <c r="B51" s="4" t="s">
        <v>5</v>
      </c>
      <c r="C51" s="7">
        <v>3.5</v>
      </c>
      <c r="D51" s="3">
        <v>2</v>
      </c>
      <c r="E51" s="3">
        <v>2</v>
      </c>
      <c r="F51" s="3">
        <v>0</v>
      </c>
      <c r="G51" s="2">
        <v>2</v>
      </c>
      <c r="H51" s="2">
        <v>2</v>
      </c>
    </row>
    <row r="52" spans="1:8" ht="22.5" customHeight="1">
      <c r="A52" s="4" t="s">
        <v>1</v>
      </c>
      <c r="B52" s="4" t="s">
        <v>4</v>
      </c>
      <c r="C52" s="7">
        <v>12.5</v>
      </c>
      <c r="D52" s="3">
        <v>5</v>
      </c>
      <c r="E52" s="3">
        <v>14</v>
      </c>
      <c r="F52" s="3">
        <v>19</v>
      </c>
      <c r="G52" s="2">
        <v>5</v>
      </c>
      <c r="H52" s="2">
        <v>14</v>
      </c>
    </row>
    <row r="53" spans="1:8" ht="22.5" customHeight="1">
      <c r="A53" s="4" t="s">
        <v>1</v>
      </c>
      <c r="B53" s="6" t="s">
        <v>3</v>
      </c>
      <c r="C53" s="7">
        <v>10.5</v>
      </c>
      <c r="D53" s="3">
        <v>5</v>
      </c>
      <c r="E53" s="3">
        <v>14</v>
      </c>
      <c r="F53" s="3">
        <v>0</v>
      </c>
      <c r="G53" s="2">
        <v>5</v>
      </c>
      <c r="H53" s="2">
        <v>14</v>
      </c>
    </row>
    <row r="54" spans="1:8" ht="22.5" customHeight="1">
      <c r="A54" s="4" t="s">
        <v>1</v>
      </c>
      <c r="B54" s="6" t="s">
        <v>2</v>
      </c>
      <c r="C54" s="5">
        <v>2</v>
      </c>
      <c r="D54" s="3">
        <v>0</v>
      </c>
      <c r="E54" s="3">
        <v>0</v>
      </c>
      <c r="F54" s="3">
        <v>19</v>
      </c>
      <c r="G54" s="2">
        <v>0</v>
      </c>
      <c r="H54" s="2">
        <v>0</v>
      </c>
    </row>
    <row r="55" spans="1:8" ht="22.5" customHeight="1">
      <c r="A55" s="4" t="s">
        <v>1</v>
      </c>
      <c r="B55" s="4" t="s">
        <v>0</v>
      </c>
      <c r="C55" s="3">
        <v>2</v>
      </c>
      <c r="D55" s="3">
        <v>0</v>
      </c>
      <c r="E55" s="3">
        <v>0</v>
      </c>
      <c r="F55" s="3">
        <v>0</v>
      </c>
      <c r="G55" s="2">
        <v>0</v>
      </c>
      <c r="H55" s="2">
        <v>0</v>
      </c>
    </row>
  </sheetData>
  <autoFilter ref="A1:JC55" xr:uid="{00000000-0009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5FC6-6C0F-2E41-BBA2-3CB9F7A55E18}">
  <dimension ref="A1:I20"/>
  <sheetViews>
    <sheetView workbookViewId="0">
      <selection activeCell="A11" sqref="A11:I11"/>
    </sheetView>
  </sheetViews>
  <sheetFormatPr baseColWidth="10" defaultRowHeight="16"/>
  <cols>
    <col min="1" max="1" width="28.83203125" style="13" bestFit="1" customWidth="1"/>
    <col min="2" max="2" width="20.83203125" style="13" bestFit="1" customWidth="1"/>
    <col min="3" max="9" width="22.1640625" style="13" bestFit="1" customWidth="1"/>
    <col min="10" max="16384" width="10.83203125" style="13"/>
  </cols>
  <sheetData>
    <row r="1" spans="1:9">
      <c r="A1" s="19" t="s">
        <v>23</v>
      </c>
      <c r="B1" s="19"/>
      <c r="C1" s="19"/>
      <c r="D1" s="19"/>
      <c r="E1" s="19"/>
      <c r="F1" s="19"/>
      <c r="G1" s="19"/>
    </row>
    <row r="2" spans="1:9">
      <c r="A2" s="20" t="s">
        <v>24</v>
      </c>
      <c r="B2" s="21"/>
      <c r="C2" s="22"/>
      <c r="D2" s="20" t="s">
        <v>25</v>
      </c>
      <c r="E2" s="21"/>
      <c r="F2" s="21"/>
      <c r="G2" s="22"/>
    </row>
    <row r="3" spans="1:9" ht="16" customHeight="1">
      <c r="A3" s="14" t="s">
        <v>26</v>
      </c>
      <c r="B3" s="14" t="s">
        <v>33</v>
      </c>
      <c r="C3" s="14" t="s">
        <v>34</v>
      </c>
      <c r="D3" s="14" t="s">
        <v>35</v>
      </c>
      <c r="E3" s="14" t="s">
        <v>36</v>
      </c>
      <c r="F3" s="14" t="s">
        <v>37</v>
      </c>
      <c r="G3" s="14" t="s">
        <v>38</v>
      </c>
      <c r="H3" s="14" t="s">
        <v>56</v>
      </c>
      <c r="I3" s="14" t="s">
        <v>57</v>
      </c>
    </row>
    <row r="4" spans="1:9">
      <c r="A4" s="14" t="s">
        <v>27</v>
      </c>
      <c r="B4" s="14">
        <v>10000</v>
      </c>
      <c r="C4" s="14">
        <f>(E4-B4)/2</f>
        <v>170108.715</v>
      </c>
      <c r="D4" s="14">
        <f>C4</f>
        <v>170108.715</v>
      </c>
      <c r="E4" s="15">
        <v>350217.43</v>
      </c>
      <c r="F4" s="14">
        <v>3294580.6</v>
      </c>
      <c r="G4" s="14">
        <f>F4-E4</f>
        <v>2944363.17</v>
      </c>
      <c r="H4" s="14">
        <f>SUM(G4:G7)</f>
        <v>6699114.9600000009</v>
      </c>
      <c r="I4" s="14">
        <f>H4+B18+B19</f>
        <v>6766266.9600000009</v>
      </c>
    </row>
    <row r="5" spans="1:9">
      <c r="A5" s="14" t="s">
        <v>28</v>
      </c>
      <c r="B5" s="14">
        <v>10000</v>
      </c>
      <c r="C5" s="14">
        <f t="shared" ref="C5:C8" si="0">(E5-B5)/2</f>
        <v>29371.96</v>
      </c>
      <c r="D5" s="14">
        <f>C5</f>
        <v>29371.96</v>
      </c>
      <c r="E5" s="15">
        <v>68743.92</v>
      </c>
      <c r="F5" s="14">
        <v>557768</v>
      </c>
      <c r="G5" s="14">
        <f t="shared" ref="G5:G9" si="1">F5-E5</f>
        <v>489024.08</v>
      </c>
    </row>
    <row r="6" spans="1:9">
      <c r="A6" s="14" t="s">
        <v>29</v>
      </c>
      <c r="B6" s="14">
        <v>1000</v>
      </c>
      <c r="C6" s="14">
        <f t="shared" si="0"/>
        <v>594.55999999999995</v>
      </c>
      <c r="D6" s="14">
        <f t="shared" ref="D6:D8" si="2">C6</f>
        <v>594.55999999999995</v>
      </c>
      <c r="E6" s="15">
        <v>2189.12</v>
      </c>
      <c r="F6" s="15">
        <v>382893.4</v>
      </c>
      <c r="G6" s="14">
        <f t="shared" si="1"/>
        <v>380704.28</v>
      </c>
    </row>
    <row r="7" spans="1:9">
      <c r="A7" s="14" t="s">
        <v>30</v>
      </c>
      <c r="B7" s="14">
        <v>10000</v>
      </c>
      <c r="C7" s="14">
        <f t="shared" si="0"/>
        <v>153214.285</v>
      </c>
      <c r="D7" s="14">
        <f t="shared" si="2"/>
        <v>153214.285</v>
      </c>
      <c r="E7" s="15">
        <v>316428.57</v>
      </c>
      <c r="F7" s="15">
        <v>3201452</v>
      </c>
      <c r="G7" s="14">
        <f t="shared" si="1"/>
        <v>2885023.43</v>
      </c>
    </row>
    <row r="8" spans="1:9">
      <c r="A8" s="14" t="s">
        <v>31</v>
      </c>
      <c r="B8" s="14">
        <v>5000</v>
      </c>
      <c r="C8" s="14">
        <f t="shared" si="0"/>
        <v>144385.07500000001</v>
      </c>
      <c r="D8" s="14">
        <f t="shared" si="2"/>
        <v>144385.07500000001</v>
      </c>
      <c r="E8" s="15">
        <v>293770.15000000002</v>
      </c>
      <c r="F8" s="14">
        <v>2692956</v>
      </c>
      <c r="G8" s="14">
        <f t="shared" si="1"/>
        <v>2399185.85</v>
      </c>
    </row>
    <row r="9" spans="1:9">
      <c r="A9" s="14" t="s">
        <v>32</v>
      </c>
      <c r="B9" s="14">
        <f>B7-B8</f>
        <v>5000</v>
      </c>
      <c r="C9" s="14">
        <f>C7-C8</f>
        <v>8829.2099999999919</v>
      </c>
      <c r="D9" s="14">
        <f>D7-D8</f>
        <v>8829.2099999999919</v>
      </c>
      <c r="E9" s="14">
        <f>E7-E8</f>
        <v>22658.419999999984</v>
      </c>
      <c r="F9" s="14">
        <v>508496</v>
      </c>
      <c r="G9" s="14">
        <f t="shared" si="1"/>
        <v>485837.58</v>
      </c>
    </row>
    <row r="11" spans="1:9">
      <c r="A11" s="20" t="s">
        <v>39</v>
      </c>
      <c r="B11" s="21"/>
      <c r="C11" s="21"/>
      <c r="D11" s="21"/>
      <c r="E11" s="21"/>
      <c r="F11" s="21"/>
      <c r="G11" s="21"/>
      <c r="H11" s="21"/>
      <c r="I11" s="22"/>
    </row>
    <row r="12" spans="1:9">
      <c r="A12" s="14" t="s">
        <v>40</v>
      </c>
      <c r="B12" s="14" t="s">
        <v>41</v>
      </c>
      <c r="C12" s="14" t="s">
        <v>42</v>
      </c>
      <c r="D12" s="14" t="s">
        <v>43</v>
      </c>
      <c r="E12" s="14" t="s">
        <v>44</v>
      </c>
      <c r="F12" s="14" t="s">
        <v>45</v>
      </c>
      <c r="G12" s="14" t="s">
        <v>46</v>
      </c>
      <c r="H12" s="14" t="s">
        <v>47</v>
      </c>
      <c r="I12" s="14" t="s">
        <v>48</v>
      </c>
    </row>
    <row r="13" spans="1:9">
      <c r="A13" s="14">
        <v>2025</v>
      </c>
      <c r="B13" s="14" t="s">
        <v>51</v>
      </c>
      <c r="C13" s="14">
        <v>25678</v>
      </c>
      <c r="D13" s="14">
        <v>189234</v>
      </c>
      <c r="E13" s="14">
        <v>24567</v>
      </c>
      <c r="F13" s="14">
        <v>6789</v>
      </c>
      <c r="G13" s="14">
        <v>260</v>
      </c>
      <c r="H13" s="14">
        <v>245</v>
      </c>
      <c r="I13" s="14">
        <v>255</v>
      </c>
    </row>
    <row r="14" spans="1:9">
      <c r="A14" s="14">
        <v>2026</v>
      </c>
      <c r="B14" s="14" t="s">
        <v>52</v>
      </c>
      <c r="C14" s="14">
        <v>24890</v>
      </c>
      <c r="D14" s="14">
        <v>210345</v>
      </c>
      <c r="E14" s="14">
        <v>23789</v>
      </c>
      <c r="F14" s="14">
        <v>6543</v>
      </c>
      <c r="G14" s="14">
        <v>255</v>
      </c>
      <c r="H14" s="14">
        <v>238</v>
      </c>
      <c r="I14" s="14">
        <v>250</v>
      </c>
    </row>
    <row r="15" spans="1:9">
      <c r="A15" s="14">
        <v>2027</v>
      </c>
      <c r="B15" s="14" t="s">
        <v>53</v>
      </c>
      <c r="C15" s="14">
        <v>24012</v>
      </c>
      <c r="D15" s="14">
        <v>198765</v>
      </c>
      <c r="E15" s="14">
        <v>22901</v>
      </c>
      <c r="F15" s="14">
        <v>6305</v>
      </c>
      <c r="G15" s="14">
        <v>250</v>
      </c>
      <c r="H15" s="14">
        <v>230</v>
      </c>
      <c r="I15" s="14">
        <v>245</v>
      </c>
    </row>
    <row r="17" spans="1:2">
      <c r="A17" s="14" t="s">
        <v>49</v>
      </c>
      <c r="B17" s="14" t="s">
        <v>50</v>
      </c>
    </row>
    <row r="18" spans="1:2">
      <c r="A18" s="14" t="s">
        <v>54</v>
      </c>
      <c r="B18" s="14">
        <v>38724</v>
      </c>
    </row>
    <row r="19" spans="1:2">
      <c r="A19" s="14" t="s">
        <v>55</v>
      </c>
      <c r="B19" s="14">
        <v>28428</v>
      </c>
    </row>
    <row r="20" spans="1:2">
      <c r="A20" s="14"/>
      <c r="B20" s="14"/>
    </row>
  </sheetData>
  <mergeCells count="4">
    <mergeCell ref="A1:G1"/>
    <mergeCell ref="A2:C2"/>
    <mergeCell ref="D2:G2"/>
    <mergeCell ref="A11:I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E0D6-0468-AB41-B350-8964C3237260}">
  <dimension ref="A1:K32"/>
  <sheetViews>
    <sheetView tabSelected="1" workbookViewId="0">
      <selection activeCell="L19" sqref="L19"/>
    </sheetView>
  </sheetViews>
  <sheetFormatPr baseColWidth="10" defaultRowHeight="16"/>
  <cols>
    <col min="1" max="1" width="28.83203125" style="13" bestFit="1" customWidth="1"/>
    <col min="2" max="2" width="20.83203125" style="13" bestFit="1" customWidth="1"/>
    <col min="3" max="9" width="22.1640625" style="13" bestFit="1" customWidth="1"/>
    <col min="10" max="16384" width="10.83203125" style="13"/>
  </cols>
  <sheetData>
    <row r="1" spans="1:11">
      <c r="A1" s="19" t="s">
        <v>23</v>
      </c>
      <c r="B1" s="19"/>
      <c r="C1" s="19"/>
      <c r="D1" s="19"/>
      <c r="E1" s="19"/>
      <c r="F1" s="19"/>
      <c r="G1" s="19"/>
    </row>
    <row r="2" spans="1:11">
      <c r="A2" s="20" t="s">
        <v>24</v>
      </c>
      <c r="B2" s="21"/>
      <c r="C2" s="22"/>
      <c r="D2" s="20" t="s">
        <v>25</v>
      </c>
      <c r="E2" s="21"/>
      <c r="F2" s="21"/>
      <c r="G2" s="22"/>
    </row>
    <row r="3" spans="1:11" ht="16" customHeight="1">
      <c r="A3" s="14" t="s">
        <v>26</v>
      </c>
      <c r="B3" s="14" t="s">
        <v>33</v>
      </c>
      <c r="C3" s="14" t="s">
        <v>34</v>
      </c>
      <c r="D3" s="14" t="s">
        <v>35</v>
      </c>
      <c r="E3" s="14" t="s">
        <v>36</v>
      </c>
      <c r="F3" s="14" t="s">
        <v>59</v>
      </c>
      <c r="G3" s="14" t="s">
        <v>60</v>
      </c>
      <c r="H3" s="14" t="s">
        <v>61</v>
      </c>
      <c r="I3" s="14" t="s">
        <v>62</v>
      </c>
      <c r="J3" s="14" t="s">
        <v>63</v>
      </c>
      <c r="K3" s="14" t="s">
        <v>64</v>
      </c>
    </row>
    <row r="4" spans="1:11">
      <c r="A4" s="14" t="s">
        <v>27</v>
      </c>
      <c r="B4" s="16">
        <v>100</v>
      </c>
      <c r="C4" s="16">
        <f>(E4-B4)/2</f>
        <v>192110.54500000001</v>
      </c>
      <c r="D4" s="16">
        <f>C4</f>
        <v>192110.54500000001</v>
      </c>
      <c r="E4" s="25">
        <v>384321.09</v>
      </c>
      <c r="F4" s="14">
        <v>415593.2</v>
      </c>
      <c r="G4" s="32">
        <v>31272.109999999899</v>
      </c>
      <c r="H4" s="33">
        <v>402928.9</v>
      </c>
      <c r="I4" s="33">
        <v>18607.809999999899</v>
      </c>
      <c r="J4" s="33">
        <v>390551.7</v>
      </c>
      <c r="K4" s="34">
        <v>6230.6099999999897</v>
      </c>
    </row>
    <row r="5" spans="1:11">
      <c r="A5" s="14" t="s">
        <v>28</v>
      </c>
      <c r="B5" s="16">
        <v>100</v>
      </c>
      <c r="C5" s="16">
        <f t="shared" ref="C5:C9" si="0">(E5-B5)/2</f>
        <v>38777.160000000003</v>
      </c>
      <c r="D5" s="16">
        <f t="shared" ref="D5:D9" si="1">C5</f>
        <v>38777.160000000003</v>
      </c>
      <c r="E5" s="25">
        <v>77654.320000000007</v>
      </c>
      <c r="F5" s="14">
        <v>52112</v>
      </c>
      <c r="G5" s="35">
        <v>-25542.32</v>
      </c>
      <c r="H5" s="36">
        <v>50524</v>
      </c>
      <c r="I5" s="36">
        <v>-27130.32</v>
      </c>
      <c r="J5" s="36">
        <v>48972</v>
      </c>
      <c r="K5" s="37">
        <v>-28682.32</v>
      </c>
    </row>
    <row r="6" spans="1:11">
      <c r="A6" s="14" t="s">
        <v>29</v>
      </c>
      <c r="B6" s="16">
        <v>100</v>
      </c>
      <c r="C6" s="16">
        <f t="shared" si="0"/>
        <v>6020.6049999999996</v>
      </c>
      <c r="D6" s="16">
        <f t="shared" si="1"/>
        <v>6020.6049999999996</v>
      </c>
      <c r="E6" s="25">
        <v>12141.21</v>
      </c>
      <c r="F6" s="14">
        <v>40386.800000000003</v>
      </c>
      <c r="G6" s="35">
        <v>28245.59</v>
      </c>
      <c r="H6" s="36">
        <v>39156.1</v>
      </c>
      <c r="I6" s="36">
        <v>27014.89</v>
      </c>
      <c r="J6" s="36">
        <v>37953.300000000003</v>
      </c>
      <c r="K6" s="37">
        <v>25812.09</v>
      </c>
    </row>
    <row r="7" spans="1:11">
      <c r="A7" s="14" t="s">
        <v>30</v>
      </c>
      <c r="B7" s="16">
        <v>100</v>
      </c>
      <c r="C7" s="16">
        <f t="shared" si="0"/>
        <v>170567.28</v>
      </c>
      <c r="D7" s="16">
        <f t="shared" si="1"/>
        <v>170567.28</v>
      </c>
      <c r="E7" s="25">
        <v>341234.56</v>
      </c>
      <c r="F7" s="14">
        <v>317593</v>
      </c>
      <c r="G7" s="35">
        <v>-23641.56</v>
      </c>
      <c r="H7" s="36">
        <v>307970</v>
      </c>
      <c r="I7" s="36">
        <v>-33264.559999999998</v>
      </c>
      <c r="J7" s="36">
        <v>298563</v>
      </c>
      <c r="K7" s="37">
        <v>-42671.56</v>
      </c>
    </row>
    <row r="8" spans="1:11">
      <c r="A8" s="14" t="s">
        <v>31</v>
      </c>
      <c r="B8" s="16">
        <v>50</v>
      </c>
      <c r="C8" s="16">
        <f t="shared" si="0"/>
        <v>157979</v>
      </c>
      <c r="D8" s="16">
        <f t="shared" si="1"/>
        <v>157979</v>
      </c>
      <c r="E8" s="25">
        <v>316008</v>
      </c>
      <c r="F8" s="15">
        <v>260560</v>
      </c>
      <c r="G8" s="35">
        <v>-55448</v>
      </c>
      <c r="H8" s="36">
        <v>252620</v>
      </c>
      <c r="I8" s="36">
        <v>-63388</v>
      </c>
      <c r="J8" s="36">
        <v>244860</v>
      </c>
      <c r="K8" s="37">
        <v>-71148</v>
      </c>
    </row>
    <row r="9" spans="1:11">
      <c r="A9" s="14" t="s">
        <v>32</v>
      </c>
      <c r="B9" s="16">
        <v>50</v>
      </c>
      <c r="C9" s="16">
        <f t="shared" si="0"/>
        <v>12588.279999999999</v>
      </c>
      <c r="D9" s="16">
        <f t="shared" si="1"/>
        <v>12588.279999999999</v>
      </c>
      <c r="E9" s="31">
        <f t="shared" ref="E9" si="2">E7-E8</f>
        <v>25226.559999999998</v>
      </c>
      <c r="F9" s="14">
        <v>57033</v>
      </c>
      <c r="G9" s="35">
        <v>31806.44</v>
      </c>
      <c r="H9" s="36">
        <v>55350</v>
      </c>
      <c r="I9" s="36">
        <v>30123.439999999999</v>
      </c>
      <c r="J9" s="36">
        <v>53703</v>
      </c>
      <c r="K9" s="37">
        <v>28476.44</v>
      </c>
    </row>
    <row r="10" spans="1:11">
      <c r="E10" s="14" t="s">
        <v>56</v>
      </c>
      <c r="G10" s="32">
        <v>10333.82</v>
      </c>
      <c r="I10" s="13">
        <v>-14772.1800000001</v>
      </c>
      <c r="K10" s="13">
        <v>-39311.179999999898</v>
      </c>
    </row>
    <row r="11" spans="1:11">
      <c r="E11" s="14" t="s">
        <v>57</v>
      </c>
      <c r="G11" s="35">
        <v>49854.82</v>
      </c>
      <c r="I11" s="13">
        <v>24748.819999999901</v>
      </c>
      <c r="K11" s="13">
        <v>209.82000000006499</v>
      </c>
    </row>
    <row r="23" spans="1:10">
      <c r="A23" s="20" t="s">
        <v>39</v>
      </c>
      <c r="B23" s="21"/>
      <c r="C23" s="21"/>
      <c r="D23" s="21"/>
      <c r="E23" s="21"/>
      <c r="F23" s="21"/>
      <c r="G23" s="21"/>
      <c r="H23" s="21"/>
      <c r="I23" s="22"/>
    </row>
    <row r="24" spans="1:10">
      <c r="A24" s="14" t="s">
        <v>40</v>
      </c>
      <c r="B24" s="14" t="s">
        <v>41</v>
      </c>
      <c r="C24" s="14" t="s">
        <v>42</v>
      </c>
      <c r="D24" s="14" t="s">
        <v>43</v>
      </c>
      <c r="E24" s="14" t="s">
        <v>44</v>
      </c>
      <c r="F24" s="14" t="s">
        <v>45</v>
      </c>
      <c r="G24" s="14" t="s">
        <v>46</v>
      </c>
      <c r="H24" s="14" t="s">
        <v>47</v>
      </c>
      <c r="I24" s="14" t="s">
        <v>48</v>
      </c>
      <c r="J24" s="13" t="s">
        <v>58</v>
      </c>
    </row>
    <row r="25" spans="1:10">
      <c r="A25" s="16">
        <v>2025</v>
      </c>
      <c r="B25" s="16" t="s">
        <v>51</v>
      </c>
      <c r="C25" s="25">
        <v>25601</v>
      </c>
      <c r="D25" s="26">
        <v>196</v>
      </c>
      <c r="E25" s="25">
        <v>0</v>
      </c>
      <c r="F25" s="25">
        <v>0</v>
      </c>
      <c r="G25" s="25">
        <v>259</v>
      </c>
      <c r="H25" s="25">
        <v>0</v>
      </c>
      <c r="I25" s="27">
        <v>0</v>
      </c>
    </row>
    <row r="26" spans="1:10">
      <c r="A26" s="16">
        <v>2026</v>
      </c>
      <c r="B26" s="16" t="s">
        <v>52</v>
      </c>
      <c r="C26" s="25">
        <v>24823</v>
      </c>
      <c r="D26" s="26">
        <v>185</v>
      </c>
      <c r="E26" s="25">
        <v>0</v>
      </c>
      <c r="F26" s="25">
        <v>0</v>
      </c>
      <c r="G26" s="25">
        <v>254</v>
      </c>
      <c r="H26" s="25">
        <v>0</v>
      </c>
      <c r="I26" s="27">
        <v>0</v>
      </c>
    </row>
    <row r="27" spans="1:10" ht="17" thickBot="1">
      <c r="A27" s="16">
        <v>2027</v>
      </c>
      <c r="B27" s="16" t="s">
        <v>53</v>
      </c>
      <c r="C27" s="28">
        <v>24045</v>
      </c>
      <c r="D27" s="29">
        <v>192</v>
      </c>
      <c r="E27" s="25">
        <v>0</v>
      </c>
      <c r="F27" s="25">
        <v>0</v>
      </c>
      <c r="G27" s="28">
        <v>249</v>
      </c>
      <c r="H27" s="28">
        <v>0</v>
      </c>
      <c r="I27" s="30">
        <v>0</v>
      </c>
    </row>
    <row r="29" spans="1:10">
      <c r="A29" s="14" t="s">
        <v>49</v>
      </c>
      <c r="B29" s="14" t="s">
        <v>50</v>
      </c>
    </row>
    <row r="30" spans="1:10">
      <c r="A30" s="16" t="s">
        <v>54</v>
      </c>
      <c r="B30" s="23">
        <v>13900</v>
      </c>
    </row>
    <row r="31" spans="1:10" ht="17" thickBot="1">
      <c r="A31" s="17" t="s">
        <v>55</v>
      </c>
      <c r="B31" s="24">
        <v>25621</v>
      </c>
    </row>
    <row r="32" spans="1:10">
      <c r="A32" s="18"/>
      <c r="B32" s="18"/>
    </row>
  </sheetData>
  <mergeCells count="4">
    <mergeCell ref="A1:G1"/>
    <mergeCell ref="A2:C2"/>
    <mergeCell ref="D2:G2"/>
    <mergeCell ref="A23:I23"/>
  </mergeCells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系数表</vt:lpstr>
      <vt:lpstr>上海大学</vt:lpstr>
      <vt:lpstr>上海大学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Cao</dc:creator>
  <cp:lastModifiedBy>Jie Cao</cp:lastModifiedBy>
  <dcterms:created xsi:type="dcterms:W3CDTF">2025-10-27T08:02:08Z</dcterms:created>
  <dcterms:modified xsi:type="dcterms:W3CDTF">2025-10-30T02:53:38Z</dcterms:modified>
</cp:coreProperties>
</file>